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대시보드" sheetId="1" r:id="rId4"/>
    <sheet state="visible" name="핵심 시나리오" sheetId="2" r:id="rId5"/>
    <sheet state="visible" name="기능 테스트" sheetId="3" r:id="rId6"/>
    <sheet state="visible" name="설정값" sheetId="4" r:id="rId7"/>
  </sheets>
  <definedNames/>
  <calcPr/>
  <extLst>
    <ext uri="GoogleSheetsCustomDataVersion2">
      <go:sheetsCustomData xmlns:go="http://customooxmlschemas.google.com/" r:id="rId8" roundtripDataChecksum="V7P4zoJw7A2XshSDPjEkPddWgFGKC0HbSSTIUHbJCec="/>
    </ext>
  </extLst>
</workbook>
</file>

<file path=xl/sharedStrings.xml><?xml version="1.0" encoding="utf-8"?>
<sst xmlns="http://schemas.openxmlformats.org/spreadsheetml/2006/main" count="396" uniqueCount="255">
  <si>
    <t>게임 핵심 로직 QA 대시보드</t>
  </si>
  <si>
    <t>핵심 시나리오 단계</t>
  </si>
  <si>
    <t>기능 테스트 케이스</t>
  </si>
  <si>
    <t>게임오버 임계값</t>
  </si>
  <si>
    <t>PASS</t>
  </si>
  <si>
    <t>FAIL</t>
  </si>
  <si>
    <t>테스트 진행률</t>
  </si>
  <si>
    <t>핵심 시나리오 흐름</t>
  </si>
  <si>
    <t>01
CCTV 정상</t>
  </si>
  <si>
    <t>02
감시 시작</t>
  </si>
  <si>
    <t>03
이상 발생</t>
  </si>
  <si>
    <t>04
차이 발견</t>
  </si>
  <si>
    <t>05
3요소 보고</t>
  </si>
  <si>
    <t>06
성공 노이즈</t>
  </si>
  <si>
    <t>07
정상 복원</t>
  </si>
  <si>
    <t>08
미발견 누적</t>
  </si>
  <si>
    <t>09
3회 게임오버</t>
  </si>
  <si>
    <t>10
간단 평가</t>
  </si>
  <si>
    <t>→</t>
  </si>
  <si>
    <t>END</t>
  </si>
  <si>
    <t>테스트 결과</t>
  </si>
  <si>
    <t>건수</t>
  </si>
  <si>
    <t>미실행</t>
  </si>
  <si>
    <t>BLOCKED</t>
  </si>
  <si>
    <t>N/A</t>
  </si>
  <si>
    <t>핵심 판정 규칙 및 기획 확인 항목</t>
  </si>
  <si>
    <t>구분</t>
  </si>
  <si>
    <t>내용</t>
  </si>
  <si>
    <t>정답 보고</t>
  </si>
  <si>
    <t>[구역] + [대상] + [이상 유형] 3개 값이 모두 일치해야 성공</t>
  </si>
  <si>
    <t>성공 처리</t>
  </si>
  <si>
    <t>성공 노이즈 1회 출력 → 해당 이상현상 제거 → 정상 배치 복원</t>
  </si>
  <si>
    <t>실패 누적</t>
  </si>
  <si>
    <t>이상현상 미발견 시 카운트 +1</t>
  </si>
  <si>
    <t>게임오버</t>
  </si>
  <si>
    <t>미발견 누적값이 설정 임계값(현재 3)에 도달하면 게임오버</t>
  </si>
  <si>
    <t>평가</t>
  </si>
  <si>
    <t>게임 종료 후 간단 평가 표시. 세부 평가 지표는 기획 확정 필요</t>
  </si>
  <si>
    <t>기획 확인</t>
  </si>
  <si>
    <t>이상현상 발생 주기, 미발견 판정 시점, 오답 피드백, 평가 지표</t>
  </si>
  <si>
    <t>게임 핵심 로직 시나리오</t>
  </si>
  <si>
    <t>ID</t>
  </si>
  <si>
    <t>단계</t>
  </si>
  <si>
    <t>시나리오</t>
  </si>
  <si>
    <t>사전조건/트리거</t>
  </si>
  <si>
    <t>기대 결과</t>
  </si>
  <si>
    <t>관련 기능</t>
  </si>
  <si>
    <t>우선순위</t>
  </si>
  <si>
    <t>검토 상태</t>
  </si>
  <si>
    <t>담당자</t>
  </si>
  <si>
    <t>확정일</t>
  </si>
  <si>
    <t>비고</t>
  </si>
  <si>
    <t>SCN-01</t>
  </si>
  <si>
    <t>초기화</t>
  </si>
  <si>
    <t>CCTV 2개 정상 상태 확인</t>
  </si>
  <si>
    <t>게임 시작 직후</t>
  </si>
  <si>
    <t>CCTV 2대가 모두 정상 상태로 표시된다.</t>
  </si>
  <si>
    <t>CCTV 상태 관리</t>
  </si>
  <si>
    <t>P0</t>
  </si>
  <si>
    <t>검토 전</t>
  </si>
  <si>
    <t>핵심 시작 조건</t>
  </si>
  <si>
    <t>SCN-02</t>
  </si>
  <si>
    <t>감시</t>
  </si>
  <si>
    <t>감시 시작</t>
  </si>
  <si>
    <t>CCTV 2개 정상</t>
  </si>
  <si>
    <t>감시 상태가 시작되고 이상현상 발생을 대기한다.</t>
  </si>
  <si>
    <t>감시 상태 전환</t>
  </si>
  <si>
    <t>SCN-03</t>
  </si>
  <si>
    <t>이상현상</t>
  </si>
  <si>
    <t>이상현상 발생</t>
  </si>
  <si>
    <t>감시 진행 중</t>
  </si>
  <si>
    <t>정상 배치와 다른 이상현상이 발생한다.</t>
  </si>
  <si>
    <t>이상현상 생성</t>
  </si>
  <si>
    <t>발생 주기/동시 발생 수는 기획 확인 필요</t>
  </si>
  <si>
    <t>SCN-04</t>
  </si>
  <si>
    <t>플레이</t>
  </si>
  <si>
    <t>플레이어가 차이를 발견</t>
  </si>
  <si>
    <t>이상현상 발생 상태</t>
  </si>
  <si>
    <t>플레이어가 CCTV 화면에서 정상 상태와 차이를 식별할 수 있다.</t>
  </si>
  <si>
    <t>상태 비교/인지</t>
  </si>
  <si>
    <t>SCN-05</t>
  </si>
  <si>
    <t>보고</t>
  </si>
  <si>
    <t>[구역][대상][이상 유형] 보고</t>
  </si>
  <si>
    <t>차이 발견</t>
  </si>
  <si>
    <t>3개 분류값을 선택하여 보고할 수 있다.</t>
  </si>
  <si>
    <t>이상현상 보고</t>
  </si>
  <si>
    <t>보고 UI/입력 방식은 기획 확인 필요</t>
  </si>
  <si>
    <t>SCN-06</t>
  </si>
  <si>
    <t>판정</t>
  </si>
  <si>
    <t>정확하면 성공 노이즈</t>
  </si>
  <si>
    <t>보고 제출</t>
  </si>
  <si>
    <t>정답 일치 시 성공 효과음이 1회 출력된다.</t>
  </si>
  <si>
    <t>정답 판정/사운드</t>
  </si>
  <si>
    <t>SCN-07</t>
  </si>
  <si>
    <t>복원</t>
  </si>
  <si>
    <t>정상 배치 복원</t>
  </si>
  <si>
    <t>정확한 보고 성공</t>
  </si>
  <si>
    <t>해당 이상현상이 제거되고 정상 배치로 돌아간다.</t>
  </si>
  <si>
    <t>상태 복원</t>
  </si>
  <si>
    <t>SCN-08</t>
  </si>
  <si>
    <t>일부 이상현상 미발견</t>
  </si>
  <si>
    <t>이상현상 제한 시간/조건 종료</t>
  </si>
  <si>
    <t>미발견 횟수가 1회 증가한다.</t>
  </si>
  <si>
    <t>미발견 카운트</t>
  </si>
  <si>
    <t>미발견 판정 시점은 기획 확인 필요</t>
  </si>
  <si>
    <t>SCN-09</t>
  </si>
  <si>
    <t>미발견 3회 게임오버</t>
  </si>
  <si>
    <t>미발견 누적 3회</t>
  </si>
  <si>
    <t>게임오버 상태로 전환되고 추가 진행이 중단된다.</t>
  </si>
  <si>
    <t>게임오버 판정</t>
  </si>
  <si>
    <t>임계값은 설정값 시트에서 관리</t>
  </si>
  <si>
    <t>SCN-10</t>
  </si>
  <si>
    <t>결과</t>
  </si>
  <si>
    <t>간단 평가</t>
  </si>
  <si>
    <t>게임 종료</t>
  </si>
  <si>
    <t>플레이 결과 요약이 표시된다.</t>
  </si>
  <si>
    <t>결과 평가</t>
  </si>
  <si>
    <t>P1</t>
  </si>
  <si>
    <t>평가 지표는 기획 확인 필요</t>
  </si>
  <si>
    <t>기능 단위 테스트 케이스</t>
  </si>
  <si>
    <t>TC ID</t>
  </si>
  <si>
    <t>대분류</t>
  </si>
  <si>
    <t>기능명</t>
  </si>
  <si>
    <t>테스트 유형</t>
  </si>
  <si>
    <t>사전조건</t>
  </si>
  <si>
    <t>테스트 절차</t>
  </si>
  <si>
    <t>입력/행동</t>
  </si>
  <si>
    <t>결함 ID</t>
  </si>
  <si>
    <t>테스트일</t>
  </si>
  <si>
    <t>TC-CCTV-001</t>
  </si>
  <si>
    <t>CCTV</t>
  </si>
  <si>
    <t>CCTV 2대 정상 표시</t>
  </si>
  <si>
    <t>정상</t>
  </si>
  <si>
    <t>게임 최초 진입</t>
  </si>
  <si>
    <t>1) 게임 시작
2) CCTV 상태 영역 확인</t>
  </si>
  <si>
    <t>게임 시작</t>
  </si>
  <si>
    <t>CCTV 2대가 모두 정상으로 표시된다.</t>
  </si>
  <si>
    <t>TC-CCTV-002</t>
  </si>
  <si>
    <t>CCTV 비정상 상태 처리</t>
  </si>
  <si>
    <t>예외</t>
  </si>
  <si>
    <t>CCTV 1대 비정상 조건 구성</t>
  </si>
  <si>
    <t>1) 게임 시작
2) CCTV 상태 확인
3) 감시 시작 시도</t>
  </si>
  <si>
    <t>비정상 상태가 식별되고, 감시 가능 여부가 기획 규칙대로 처리된다.</t>
  </si>
  <si>
    <t>차단/경고 정책 기획 확인 필요</t>
  </si>
  <si>
    <t>TC-MON-001</t>
  </si>
  <si>
    <t>감시 시작 상태 전환</t>
  </si>
  <si>
    <t>CCTV 2대 정상</t>
  </si>
  <si>
    <t>1) 감시 시작 실행
2) 상태 표시 확인</t>
  </si>
  <si>
    <t>감시 시작 버튼/입력</t>
  </si>
  <si>
    <t>감시 상태로 1회 전환되고 이상현상 대기 상태가 된다.</t>
  </si>
  <si>
    <t>TC-MON-002</t>
  </si>
  <si>
    <t>감시 중 중복 시작 방지</t>
  </si>
  <si>
    <t>이미 감시 중</t>
  </si>
  <si>
    <t>1) 감시 시작 입력 반복
2) 상태/이벤트 수 확인</t>
  </si>
  <si>
    <t>감시 시작 반복</t>
  </si>
  <si>
    <t>중복 상태 전환 또는 중복 이벤트가 발생하지 않는다.</t>
  </si>
  <si>
    <t>TC-ANO-001</t>
  </si>
  <si>
    <t>감시 중 이상현상 발생</t>
  </si>
  <si>
    <t>1) 이상현상 발생 조건 충족
2) CCTV 화면 확인</t>
  </si>
  <si>
    <t>이상현상 트리거</t>
  </si>
  <si>
    <t>정상 배치와 구분되는 이상현상이 발생한다.</t>
  </si>
  <si>
    <t>TC-ANO-002</t>
  </si>
  <si>
    <t>보고 가능한 분류정보 보유</t>
  </si>
  <si>
    <t>1) 발생 데이터 확인
2) 구역/대상/유형 값 확인</t>
  </si>
  <si>
    <t>이상현상 데이터 조회</t>
  </si>
  <si>
    <t>각 이상현상에 [구역][대상][이상 유형] 정답 데이터가 존재한다.</t>
  </si>
  <si>
    <t>TC-DET-001</t>
  </si>
  <si>
    <t>정상 배치 대비 차이 식별</t>
  </si>
  <si>
    <t>1) 정상 상태 기준 확인
2) 이상 상태 화면 비교</t>
  </si>
  <si>
    <t>CCTV 관찰</t>
  </si>
  <si>
    <t>플레이어가 시각적으로 차이를 구분할 수 있다.</t>
  </si>
  <si>
    <t>TC-REP-001</t>
  </si>
  <si>
    <t>정확한 3요소 보고 성공</t>
  </si>
  <si>
    <t>1) 올바른 구역 선택
2) 올바른 대상 선택
3) 올바른 유형 선택
4) 제출</t>
  </si>
  <si>
    <t>정답 조합 제출</t>
  </si>
  <si>
    <t>보고가 정답으로 판정된다.</t>
  </si>
  <si>
    <t>TC-REP-002</t>
  </si>
  <si>
    <t>구역 오답 판정</t>
  </si>
  <si>
    <t>1) 잘못된 구역 선택
2) 대상/유형은 정답
3) 제출</t>
  </si>
  <si>
    <t>구역 오답</t>
  </si>
  <si>
    <t>정답 성공 처리되지 않는다.</t>
  </si>
  <si>
    <t>오답 피드백 방식 기획 확인 필요</t>
  </si>
  <si>
    <t>TC-REP-003</t>
  </si>
  <si>
    <t>대상 오답 판정</t>
  </si>
  <si>
    <t>1) 구역/유형은 정답
2) 잘못된 대상 선택
3) 제출</t>
  </si>
  <si>
    <t>대상 오답</t>
  </si>
  <si>
    <t>TC-REP-004</t>
  </si>
  <si>
    <t>이상 유형 오답 판정</t>
  </si>
  <si>
    <t>1) 구역/대상은 정답
2) 잘못된 유형 선택
3) 제출</t>
  </si>
  <si>
    <t>유형 오답</t>
  </si>
  <si>
    <t>TC-SFX-001</t>
  </si>
  <si>
    <t>정답 성공 효과음 1회 출력</t>
  </si>
  <si>
    <t>정확한 보고 제출</t>
  </si>
  <si>
    <t>1) 정답 보고
2) 사운드 이벤트 확인</t>
  </si>
  <si>
    <t>정답 제출</t>
  </si>
  <si>
    <t>성공 노이즈가 정확히 1회 출력된다.</t>
  </si>
  <si>
    <t>TC-RST-001</t>
  </si>
  <si>
    <t>정답 처리 후 정상 배치 복원</t>
  </si>
  <si>
    <t>1) 정답 보고
2) CCTV 화면/상태 데이터 확인</t>
  </si>
  <si>
    <t>정답 처리 완료</t>
  </si>
  <si>
    <t>이상 상태가 제거되고 해당 구역이 정상 배치로 복원된다.</t>
  </si>
  <si>
    <t>TC-MISS-001</t>
  </si>
  <si>
    <t>미발견 1회 누적</t>
  </si>
  <si>
    <t>미발견 판정 조건 충족</t>
  </si>
  <si>
    <t>1) 이상현상을 보고하지 않음
2) 판정 시점까지 진행
3) 카운트 확인</t>
  </si>
  <si>
    <t>미발견</t>
  </si>
  <si>
    <t>미발견 횟수가 정확히 1 증가한다.</t>
  </si>
  <si>
    <t>TC-MISS-002</t>
  </si>
  <si>
    <t>미발견 2회까지 게임 지속</t>
  </si>
  <si>
    <t>경계</t>
  </si>
  <si>
    <t>미발견 누적 1회</t>
  </si>
  <si>
    <t>1) 추가 미발견 발생
2) 누적값/게임 상태 확인</t>
  </si>
  <si>
    <t>2번째 미발견</t>
  </si>
  <si>
    <t>누적값은 2이며 게임오버가 발생하지 않는다.</t>
  </si>
  <si>
    <t>TC-GO-001</t>
  </si>
  <si>
    <t>미발견 누적 2회</t>
  </si>
  <si>
    <t>1) 추가 미발견 발생
2) 게임 상태 확인</t>
  </si>
  <si>
    <t>3번째 미발견</t>
  </si>
  <si>
    <t>누적값 3에서 게임오버로 전환된다.</t>
  </si>
  <si>
    <t>TC-GO-002</t>
  </si>
  <si>
    <t>게임오버 후 진행 차단</t>
  </si>
  <si>
    <t>게임오버 상태</t>
  </si>
  <si>
    <t>1) 감시/보고 입력 시도
2) 이상현상 발생 여부 확인</t>
  </si>
  <si>
    <t>게임 입력 시도</t>
  </si>
  <si>
    <t>핵심 진행 입력과 신규 이상현상 처리가 중단된다.</t>
  </si>
  <si>
    <t>TC-EVA-001</t>
  </si>
  <si>
    <t>게임 종료 후 간단 평가 표시</t>
  </si>
  <si>
    <t>1) 종료 화면 진입
2) 평가 정보 확인</t>
  </si>
  <si>
    <t>결과 화면 진입</t>
  </si>
  <si>
    <t>정의된 평가 항목이 누락 없이 표시된다.</t>
  </si>
  <si>
    <t>정답 수/미발견 수/플레이 시간 등 지표 확정 필요</t>
  </si>
  <si>
    <t>TC-FLOW-001</t>
  </si>
  <si>
    <t>전체 흐름</t>
  </si>
  <si>
    <t>정상 성공 흐름 E2E</t>
  </si>
  <si>
    <t>E2E</t>
  </si>
  <si>
    <t>게임 시작 가능</t>
  </si>
  <si>
    <t>1) CCTV 정상 확인
2) 감시 시작
3) 이상현상 발생
4) 정답 보고
5) 효과음/복원 확인</t>
  </si>
  <si>
    <t>전체 정상 흐름</t>
  </si>
  <si>
    <t>SCN-01~07이 순서대로 오류 없이 완료된다.</t>
  </si>
  <si>
    <t>TC-FLOW-002</t>
  </si>
  <si>
    <t>미발견 3회 게임오버 E2E</t>
  </si>
  <si>
    <t>1) 감시 시작
2) 이상현상 3회 미발견
3) 게임오버
4) 평가 확인</t>
  </si>
  <si>
    <t>전체 실패 흐름</t>
  </si>
  <si>
    <t>SCN-08~10이 규칙에 맞게 완료된다.</t>
  </si>
  <si>
    <t>설정 항목</t>
  </si>
  <si>
    <t>값</t>
  </si>
  <si>
    <t>시나리오 상태</t>
  </si>
  <si>
    <t>미발견 게임오버 임계값</t>
  </si>
  <si>
    <t>CCTV 수</t>
  </si>
  <si>
    <t>검토 중</t>
  </si>
  <si>
    <t>P2</t>
  </si>
  <si>
    <t>확정</t>
  </si>
  <si>
    <t>P3</t>
  </si>
  <si>
    <t>보류</t>
  </si>
  <si>
    <t>테스트 결과 목록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</si>
</sst>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10">
    <font>
      <sz val="11.0"/>
      <color rgb="FF000000"/>
      <name val="Carlito"/>
      <scheme val="minor"/>
    </font>
    <font>
      <b/>
      <sz val="18.0"/>
      <color rgb="FFFFFFFF"/>
      <name val="Carlito"/>
    </font>
    <font>
      <b/>
      <sz val="12.0"/>
      <color rgb="FFFFFFFF"/>
      <name val="Carlito"/>
    </font>
    <font>
      <b/>
      <sz val="20.0"/>
      <color rgb="FF1F2937"/>
      <name val="Carlito"/>
    </font>
    <font/>
    <font>
      <b/>
      <sz val="11.0"/>
      <color rgb="FF1F2937"/>
      <name val="Carlito"/>
    </font>
    <font>
      <b/>
      <sz val="14.0"/>
      <color rgb="FF2A9D8F"/>
      <name val="Carlito"/>
    </font>
    <font>
      <b/>
      <sz val="11.0"/>
      <color rgb="FFFFFFFF"/>
      <name val="Carlito"/>
    </font>
    <font>
      <b/>
      <sz val="11.0"/>
      <color theme="1"/>
      <name val="Carlito"/>
    </font>
    <font>
      <sz val="11.0"/>
      <color theme="1"/>
      <name val="Carlito"/>
    </font>
  </fonts>
  <fills count="12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2A9D8F"/>
        <bgColor rgb="FF2A9D8F"/>
      </patternFill>
    </fill>
    <fill>
      <patternFill patternType="solid">
        <fgColor rgb="FFD9EAF7"/>
        <bgColor rgb="FFD9EAF7"/>
      </patternFill>
    </fill>
    <fill>
      <patternFill patternType="solid">
        <fgColor rgb="FFDDF3EF"/>
        <bgColor rgb="FFDDF3EF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E2F0D9"/>
        <bgColor rgb="FFE2F0D9"/>
      </patternFill>
    </fill>
    <fill>
      <patternFill patternType="solid">
        <fgColor rgb="FFF4CCCC"/>
        <bgColor rgb="FFF4CCCC"/>
      </patternFill>
    </fill>
    <fill>
      <patternFill patternType="solid">
        <fgColor rgb="FFFCE4D6"/>
        <bgColor rgb="FFFCE4D6"/>
      </patternFill>
    </fill>
    <fill>
      <patternFill patternType="solid">
        <fgColor rgb="FFF3F4F6"/>
        <bgColor rgb="FFF3F4F6"/>
      </patternFill>
    </fill>
  </fills>
  <borders count="15">
    <border/>
    <border>
      <left/>
      <top/>
    </border>
    <border>
      <right/>
      <top/>
    </border>
    <border>
      <left/>
      <bottom/>
    </border>
    <border>
      <right/>
      <bottom/>
    </border>
    <border>
      <left/>
      <top/>
      <bottom/>
    </border>
    <border>
      <top/>
      <bottom/>
    </border>
    <border>
      <right/>
      <top/>
      <bottom/>
    </border>
    <border>
      <left/>
    </border>
    <border>
      <right/>
    </border>
    <border>
      <left/>
      <right/>
      <top/>
    </border>
    <border>
      <top/>
    </border>
    <border>
      <left/>
      <right/>
    </border>
    <border>
      <left/>
      <right/>
      <bottom/>
    </border>
    <border>
      <bottom/>
    </border>
  </borders>
  <cellStyleXfs count="1">
    <xf borderId="0" fillId="0" fontId="0" numFmtId="0" applyAlignment="1" applyFont="1"/>
  </cellStyleXfs>
  <cellXfs count="5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2" fillId="0" fontId="4" numFmtId="0" xfId="0" applyBorder="1" applyFont="1"/>
    <xf borderId="3" fillId="0" fontId="4" numFmtId="0" xfId="0" applyBorder="1" applyFont="1"/>
    <xf borderId="4" fillId="0" fontId="4" numFmtId="0" xfId="0" applyBorder="1" applyFont="1"/>
    <xf borderId="1" fillId="4" fontId="3" numFmtId="9" xfId="0" applyAlignment="1" applyBorder="1" applyFont="1" applyNumberFormat="1">
      <alignment horizontal="center" vertical="center"/>
    </xf>
    <xf borderId="5" fillId="5" fontId="5" numFmtId="0" xfId="0" applyAlignment="1" applyBorder="1" applyFill="1" applyFont="1">
      <alignment horizontal="center" shrinkToFit="0" vertical="center" wrapText="1"/>
    </xf>
    <xf borderId="6" fillId="5" fontId="5" numFmtId="0" xfId="0" applyAlignment="1" applyBorder="1" applyFont="1">
      <alignment horizontal="center" shrinkToFit="0" vertical="center" wrapText="1"/>
    </xf>
    <xf borderId="7" fillId="5" fontId="5" numFmtId="0" xfId="0" applyAlignment="1" applyBorder="1" applyFont="1">
      <alignment horizontal="center" shrinkToFit="0" vertical="center" wrapText="1"/>
    </xf>
    <xf borderId="0" fillId="6" fontId="6" numFmtId="0" xfId="0" applyAlignment="1" applyFill="1" applyFont="1">
      <alignment horizontal="center" vertical="center"/>
    </xf>
    <xf borderId="0" fillId="2" fontId="7" numFmtId="0" xfId="0" applyAlignment="1" applyFont="1">
      <alignment horizontal="center" shrinkToFit="0" vertical="center" wrapText="1"/>
    </xf>
    <xf borderId="1" fillId="7" fontId="8" numFmtId="0" xfId="0" applyAlignment="1" applyBorder="1" applyFill="1" applyFont="1">
      <alignment horizontal="center"/>
    </xf>
    <xf borderId="2" fillId="7" fontId="9" numFmtId="0" xfId="0" applyAlignment="1" applyBorder="1" applyFont="1">
      <alignment horizontal="center"/>
    </xf>
    <xf borderId="8" fillId="8" fontId="8" numFmtId="0" xfId="0" applyAlignment="1" applyBorder="1" applyFill="1" applyFont="1">
      <alignment horizontal="center"/>
    </xf>
    <xf borderId="9" fillId="8" fontId="9" numFmtId="0" xfId="0" applyAlignment="1" applyBorder="1" applyFont="1">
      <alignment horizontal="center"/>
    </xf>
    <xf borderId="8" fillId="9" fontId="8" numFmtId="0" xfId="0" applyAlignment="1" applyBorder="1" applyFill="1" applyFont="1">
      <alignment horizontal="center"/>
    </xf>
    <xf borderId="9" fillId="9" fontId="9" numFmtId="0" xfId="0" applyAlignment="1" applyBorder="1" applyFont="1">
      <alignment horizontal="center"/>
    </xf>
    <xf borderId="8" fillId="10" fontId="8" numFmtId="0" xfId="0" applyAlignment="1" applyBorder="1" applyFill="1" applyFont="1">
      <alignment horizontal="center"/>
    </xf>
    <xf borderId="9" fillId="10" fontId="9" numFmtId="0" xfId="0" applyAlignment="1" applyBorder="1" applyFont="1">
      <alignment horizontal="center"/>
    </xf>
    <xf borderId="3" fillId="11" fontId="8" numFmtId="0" xfId="0" applyAlignment="1" applyBorder="1" applyFill="1" applyFont="1">
      <alignment horizontal="center"/>
    </xf>
    <xf borderId="4" fillId="11" fontId="9" numFmtId="0" xfId="0" applyAlignment="1" applyBorder="1" applyFont="1">
      <alignment horizontal="center"/>
    </xf>
    <xf borderId="10" fillId="4" fontId="8" numFmtId="0" xfId="0" applyAlignment="1" applyBorder="1" applyFont="1">
      <alignment horizontal="center" vertical="center"/>
    </xf>
    <xf borderId="1" fillId="6" fontId="9" numFmtId="0" xfId="0" applyAlignment="1" applyBorder="1" applyFont="1">
      <alignment shrinkToFit="0" vertical="center" wrapText="1"/>
    </xf>
    <xf borderId="11" fillId="0" fontId="4" numFmtId="0" xfId="0" applyBorder="1" applyFont="1"/>
    <xf borderId="12" fillId="4" fontId="8" numFmtId="0" xfId="0" applyAlignment="1" applyBorder="1" applyFont="1">
      <alignment horizontal="center" vertical="center"/>
    </xf>
    <xf borderId="8" fillId="6" fontId="9" numFmtId="0" xfId="0" applyAlignment="1" applyBorder="1" applyFont="1">
      <alignment shrinkToFit="0" vertical="center" wrapText="1"/>
    </xf>
    <xf borderId="9" fillId="0" fontId="4" numFmtId="0" xfId="0" applyBorder="1" applyFont="1"/>
    <xf borderId="13" fillId="4" fontId="8" numFmtId="0" xfId="0" applyAlignment="1" applyBorder="1" applyFont="1">
      <alignment horizontal="center" vertical="center"/>
    </xf>
    <xf borderId="3" fillId="6" fontId="9" numFmtId="0" xfId="0" applyAlignment="1" applyBorder="1" applyFont="1">
      <alignment shrinkToFit="0" vertical="center" wrapText="1"/>
    </xf>
    <xf borderId="14" fillId="0" fontId="4" numFmtId="0" xfId="0" applyBorder="1" applyFont="1"/>
    <xf borderId="0" fillId="2" fontId="7" numFmtId="0" xfId="0" applyAlignment="1" applyFont="1">
      <alignment horizontal="center" shrinkToFit="0" vertical="center" wrapText="1"/>
    </xf>
    <xf borderId="1" fillId="6" fontId="9" numFmtId="0" xfId="0" applyAlignment="1" applyBorder="1" applyFont="1">
      <alignment horizontal="center" shrinkToFit="0" vertical="top" wrapText="1"/>
    </xf>
    <xf borderId="11" fillId="6" fontId="9" numFmtId="0" xfId="0" applyAlignment="1" applyBorder="1" applyFont="1">
      <alignment horizontal="center" shrinkToFit="0" vertical="top" wrapText="1"/>
    </xf>
    <xf borderId="11" fillId="6" fontId="9" numFmtId="0" xfId="0" applyAlignment="1" applyBorder="1" applyFont="1">
      <alignment shrinkToFit="0" vertical="top" wrapText="1"/>
    </xf>
    <xf borderId="11" fillId="6" fontId="9" numFmtId="164" xfId="0" applyAlignment="1" applyBorder="1" applyFont="1" applyNumberFormat="1">
      <alignment horizontal="center" shrinkToFit="0" vertical="top" wrapText="1"/>
    </xf>
    <xf borderId="2" fillId="6" fontId="9" numFmtId="0" xfId="0" applyAlignment="1" applyBorder="1" applyFont="1">
      <alignment shrinkToFit="0" vertical="top" wrapText="1"/>
    </xf>
    <xf borderId="8" fillId="6" fontId="9" numFmtId="0" xfId="0" applyAlignment="1" applyBorder="1" applyFont="1">
      <alignment horizontal="center" shrinkToFit="0" vertical="top" wrapText="1"/>
    </xf>
    <xf borderId="0" fillId="6" fontId="9" numFmtId="0" xfId="0" applyAlignment="1" applyFont="1">
      <alignment horizontal="center" shrinkToFit="0" vertical="top" wrapText="1"/>
    </xf>
    <xf borderId="0" fillId="6" fontId="9" numFmtId="0" xfId="0" applyAlignment="1" applyFont="1">
      <alignment shrinkToFit="0" vertical="top" wrapText="1"/>
    </xf>
    <xf borderId="0" fillId="6" fontId="9" numFmtId="164" xfId="0" applyAlignment="1" applyFont="1" applyNumberFormat="1">
      <alignment horizontal="center" shrinkToFit="0" vertical="top" wrapText="1"/>
    </xf>
    <xf borderId="9" fillId="6" fontId="9" numFmtId="0" xfId="0" applyAlignment="1" applyBorder="1" applyFont="1">
      <alignment shrinkToFit="0" vertical="top" wrapText="1"/>
    </xf>
    <xf borderId="3" fillId="6" fontId="9" numFmtId="0" xfId="0" applyAlignment="1" applyBorder="1" applyFont="1">
      <alignment horizontal="center" shrinkToFit="0" vertical="top" wrapText="1"/>
    </xf>
    <xf borderId="14" fillId="6" fontId="9" numFmtId="0" xfId="0" applyAlignment="1" applyBorder="1" applyFont="1">
      <alignment horizontal="center" shrinkToFit="0" vertical="top" wrapText="1"/>
    </xf>
    <xf borderId="14" fillId="6" fontId="9" numFmtId="0" xfId="0" applyAlignment="1" applyBorder="1" applyFont="1">
      <alignment shrinkToFit="0" vertical="top" wrapText="1"/>
    </xf>
    <xf borderId="14" fillId="6" fontId="9" numFmtId="164" xfId="0" applyAlignment="1" applyBorder="1" applyFont="1" applyNumberFormat="1">
      <alignment horizontal="center" shrinkToFit="0" vertical="top" wrapText="1"/>
    </xf>
    <xf borderId="4" fillId="6" fontId="9" numFmtId="0" xfId="0" applyAlignment="1" applyBorder="1" applyFont="1">
      <alignment shrinkToFit="0" vertical="top" wrapText="1"/>
    </xf>
    <xf borderId="0" fillId="0" fontId="9" numFmtId="0" xfId="0" applyAlignment="1" applyFont="1">
      <alignment horizontal="center"/>
    </xf>
    <xf borderId="0" fillId="0" fontId="9" numFmtId="164" xfId="0" applyAlignment="1" applyFont="1" applyNumberFormat="1">
      <alignment horizontal="center"/>
    </xf>
    <xf borderId="1" fillId="2" fontId="7" numFmtId="0" xfId="0" applyAlignment="1" applyBorder="1" applyFont="1">
      <alignment horizontal="center" shrinkToFit="0" vertical="center" wrapText="1"/>
    </xf>
    <xf borderId="2" fillId="2" fontId="7" numFmtId="0" xfId="0" applyAlignment="1" applyBorder="1" applyFont="1">
      <alignment horizontal="center" shrinkToFit="0" vertical="center" wrapText="1"/>
    </xf>
    <xf borderId="0" fillId="0" fontId="9" numFmtId="0" xfId="0" applyAlignment="1" applyFont="1">
      <alignment shrinkToFit="0" wrapText="1"/>
    </xf>
  </cellXfs>
  <cellStyles count="1">
    <cellStyle xfId="0" name="Normal" builtinId="0"/>
  </cellStyles>
  <dxfs count="9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2E7D32"/>
      </font>
      <fill>
        <patternFill patternType="solid">
          <fgColor rgb="FFE2F0D9"/>
          <bgColor rgb="FFE2F0D9"/>
        </patternFill>
      </fill>
      <border/>
    </dxf>
    <dxf>
      <font>
        <b/>
        <color rgb="FFC62828"/>
      </font>
      <fill>
        <patternFill patternType="solid">
          <fgColor rgb="FFF4CCCC"/>
          <bgColor rgb="FFF4CCCC"/>
        </patternFill>
      </fill>
      <border/>
    </dxf>
    <dxf>
      <font>
        <b/>
        <color rgb="FF1F4E78"/>
      </font>
      <fill>
        <patternFill patternType="solid">
          <fgColor rgb="FFD9EAF7"/>
          <bgColor rgb="FFD9EAF7"/>
        </patternFill>
      </fill>
      <border/>
    </dxf>
    <dxf>
      <font>
        <b/>
        <color rgb="FF9C5700"/>
      </font>
      <fill>
        <patternFill patternType="solid">
          <fgColor rgb="FFFCE4D6"/>
          <bgColor rgb="FFFCE4D6"/>
        </patternFill>
      </fill>
      <border/>
    </dxf>
    <dxf>
      <font>
        <color rgb="FF7F6000"/>
      </font>
      <fill>
        <patternFill patternType="solid">
          <fgColor rgb="FFFFF2CC"/>
          <bgColor rgb="FFFFF2CC"/>
        </patternFill>
      </fill>
      <border/>
    </dxf>
  </dxfs>
  <tableStyles count="2">
    <tableStyle count="3" pivot="0" name="핵심 시나리오-style">
      <tableStyleElement dxfId="1" type="headerRow"/>
      <tableStyleElement dxfId="2" type="firstRowStripe"/>
      <tableStyleElement dxfId="3" type="secondRowStripe"/>
    </tableStyle>
    <tableStyle count="3" pivot="0" name="기능 테스트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테스트 결과 현황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건수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'대시보드'!$A$17:$A$21</c:f>
            </c:strRef>
          </c:cat>
          <c:val>
            <c:numRef>
              <c:f>'대시보드'!$B$17:$B$21</c:f>
              <c:numCache/>
            </c:numRef>
          </c:val>
        </c:ser>
        <c:axId val="1615886064"/>
        <c:axId val="96351843"/>
      </c:barChart>
      <c:catAx>
        <c:axId val="161588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96351843"/>
      </c:catAx>
      <c:valAx>
        <c:axId val="9635184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615886064"/>
      </c:valAx>
    </c:plotArea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447675</xdr:colOff>
      <xdr:row>33</xdr:row>
      <xdr:rowOff>171450</xdr:rowOff>
    </xdr:from>
    <xdr:ext cx="7467600" cy="1600200"/>
    <xdr:graphicFrame>
      <xdr:nvGraphicFramePr>
        <xdr:cNvPr id="241943377" name="Chart 1" title="차트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3:K13" displayName="Table_1" name="Table_1" id="1">
  <tableColumns count="11">
    <tableColumn name="ID" id="1"/>
    <tableColumn name="단계" id="2"/>
    <tableColumn name="시나리오" id="3"/>
    <tableColumn name="사전조건/트리거" id="4"/>
    <tableColumn name="기대 결과" id="5"/>
    <tableColumn name="관련 기능" id="6"/>
    <tableColumn name="우선순위" id="7"/>
    <tableColumn name="검토 상태" id="8"/>
    <tableColumn name="담당자" id="9"/>
    <tableColumn name="확정일" id="10"/>
    <tableColumn name="비고" id="11"/>
  </tableColumns>
  <tableStyleInfo name="핵심 시나리오-style" showColumnStripes="0" showFirstColumn="1" showLastColumn="1" showRowStripes="1"/>
</table>
</file>

<file path=xl/tables/table2.xml><?xml version="1.0" encoding="utf-8"?>
<table xmlns="http://schemas.openxmlformats.org/spreadsheetml/2006/main" ref="A3:N23" displayName="Table_2" name="Table_2" id="2">
  <tableColumns count="14">
    <tableColumn name="TC ID" id="1"/>
    <tableColumn name="대분류" id="2"/>
    <tableColumn name="기능명" id="3"/>
    <tableColumn name="테스트 유형" id="4"/>
    <tableColumn name="우선순위" id="5"/>
    <tableColumn name="사전조건" id="6"/>
    <tableColumn name="테스트 절차" id="7"/>
    <tableColumn name="입력/행동" id="8"/>
    <tableColumn name="기대 결과" id="9"/>
    <tableColumn name="테스트 결과" id="10"/>
    <tableColumn name="결함 ID" id="11"/>
    <tableColumn name="담당자" id="12"/>
    <tableColumn name="테스트일" id="13"/>
    <tableColumn name="비고" id="14"/>
  </tableColumns>
  <tableStyleInfo name="기능 테스트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8.0"/>
    <col customWidth="1" min="3" max="10" width="14.0"/>
    <col customWidth="1" min="11" max="26" width="8.63"/>
  </cols>
  <sheetData>
    <row r="1" ht="30.0" customHeight="1">
      <c r="A1" s="1" t="s">
        <v>0</v>
      </c>
    </row>
    <row r="2" ht="30.0" customHeight="1"/>
    <row r="4">
      <c r="A4" s="2" t="s">
        <v>1</v>
      </c>
      <c r="D4" s="2" t="s">
        <v>2</v>
      </c>
      <c r="G4" s="2" t="s">
        <v>3</v>
      </c>
    </row>
    <row r="5">
      <c r="A5" s="3">
        <f>COUNTA('핵심 시나리오'!A4:A100)</f>
        <v>10</v>
      </c>
      <c r="B5" s="4"/>
      <c r="D5" s="3">
        <f>COUNTA('기능 테스트'!A4:A200)</f>
        <v>20</v>
      </c>
      <c r="E5" s="4"/>
      <c r="G5" s="3">
        <f>'설정값'!B2</f>
        <v>3</v>
      </c>
      <c r="H5" s="4"/>
    </row>
    <row r="6">
      <c r="A6" s="5"/>
      <c r="B6" s="6"/>
      <c r="D6" s="5"/>
      <c r="E6" s="6"/>
      <c r="G6" s="5"/>
      <c r="H6" s="6"/>
    </row>
    <row r="8">
      <c r="A8" s="2" t="s">
        <v>4</v>
      </c>
      <c r="D8" s="2" t="s">
        <v>5</v>
      </c>
      <c r="G8" s="2" t="s">
        <v>6</v>
      </c>
    </row>
    <row r="9">
      <c r="A9" s="3">
        <f>COUNTIF('기능 테스트'!J4:J200,"PASS")</f>
        <v>0</v>
      </c>
      <c r="B9" s="4"/>
      <c r="D9" s="3">
        <f>COUNTIF('기능 테스트'!J4:J200,"FAIL")</f>
        <v>0</v>
      </c>
      <c r="E9" s="4"/>
      <c r="G9" s="7">
        <f>IF(COUNTA('기능 테스트'!A4:A200)=0,0,(COUNTIF('기능 테스트'!J4:J200,"PASS")+COUNTIF('기능 테스트'!J4:J200,"FAIL")+COUNTIF('기능 테스트'!J4:J200,"BLOCKED")+COUNTIF('기능 테스트'!J4:J200,"N/A"))/COUNTA('기능 테스트'!A4:A200))</f>
        <v>0</v>
      </c>
      <c r="H9" s="4"/>
    </row>
    <row r="10">
      <c r="A10" s="5"/>
      <c r="B10" s="6"/>
      <c r="D10" s="5"/>
      <c r="E10" s="6"/>
      <c r="G10" s="5"/>
      <c r="H10" s="6"/>
    </row>
    <row r="12">
      <c r="A12" s="2" t="s">
        <v>7</v>
      </c>
    </row>
    <row r="13" ht="48.0" customHeight="1">
      <c r="A13" s="8" t="s">
        <v>8</v>
      </c>
      <c r="B13" s="9" t="s">
        <v>9</v>
      </c>
      <c r="C13" s="9" t="s">
        <v>10</v>
      </c>
      <c r="D13" s="9" t="s">
        <v>11</v>
      </c>
      <c r="E13" s="9" t="s">
        <v>12</v>
      </c>
      <c r="F13" s="9" t="s">
        <v>13</v>
      </c>
      <c r="G13" s="9" t="s">
        <v>14</v>
      </c>
      <c r="H13" s="9" t="s">
        <v>15</v>
      </c>
      <c r="I13" s="9" t="s">
        <v>16</v>
      </c>
      <c r="J13" s="10" t="s">
        <v>17</v>
      </c>
    </row>
    <row r="14" ht="24.0" customHeight="1">
      <c r="A14" s="11" t="s">
        <v>18</v>
      </c>
      <c r="B14" s="11" t="s">
        <v>18</v>
      </c>
      <c r="C14" s="11" t="s">
        <v>18</v>
      </c>
      <c r="D14" s="11" t="s">
        <v>18</v>
      </c>
      <c r="E14" s="11" t="s">
        <v>18</v>
      </c>
      <c r="F14" s="11" t="s">
        <v>18</v>
      </c>
      <c r="G14" s="11" t="s">
        <v>18</v>
      </c>
      <c r="H14" s="11" t="s">
        <v>18</v>
      </c>
      <c r="I14" s="11" t="s">
        <v>18</v>
      </c>
      <c r="J14" s="11" t="s">
        <v>19</v>
      </c>
    </row>
    <row r="16">
      <c r="A16" s="12" t="s">
        <v>20</v>
      </c>
      <c r="B16" s="12" t="s">
        <v>21</v>
      </c>
    </row>
    <row r="17">
      <c r="A17" s="13" t="s">
        <v>22</v>
      </c>
      <c r="B17" s="14">
        <f>COUNTIF('기능 테스트'!J4:J200,"미실행")</f>
        <v>20</v>
      </c>
    </row>
    <row r="18">
      <c r="A18" s="15" t="s">
        <v>4</v>
      </c>
      <c r="B18" s="16">
        <f>COUNTIF('기능 테스트'!J4:J200,"PASS")</f>
        <v>0</v>
      </c>
    </row>
    <row r="19">
      <c r="A19" s="17" t="s">
        <v>5</v>
      </c>
      <c r="B19" s="18">
        <f>COUNTIF('기능 테스트'!J4:J200,"FAIL")</f>
        <v>0</v>
      </c>
    </row>
    <row r="20">
      <c r="A20" s="19" t="s">
        <v>23</v>
      </c>
      <c r="B20" s="20">
        <f>COUNTIF('기능 테스트'!J4:J200,"BLOCKED")</f>
        <v>0</v>
      </c>
    </row>
    <row r="21" ht="15.75" customHeight="1">
      <c r="A21" s="21" t="s">
        <v>24</v>
      </c>
      <c r="B21" s="22">
        <f>COUNTIF('기능 테스트'!J4:J200,"N/A")</f>
        <v>0</v>
      </c>
    </row>
    <row r="22" ht="15.75" customHeight="1"/>
    <row r="23" ht="15.75" customHeight="1"/>
    <row r="24" ht="15.75" customHeight="1">
      <c r="A24" s="2" t="s">
        <v>25</v>
      </c>
    </row>
    <row r="25" ht="31.5" customHeight="1">
      <c r="A25" s="12" t="s">
        <v>26</v>
      </c>
      <c r="B25" s="12" t="s">
        <v>27</v>
      </c>
      <c r="C25" s="12"/>
      <c r="D25" s="12"/>
      <c r="E25" s="12"/>
      <c r="F25" s="12"/>
      <c r="G25" s="12"/>
      <c r="H25" s="12"/>
      <c r="I25" s="12"/>
      <c r="J25" s="12"/>
    </row>
    <row r="26" ht="31.5" customHeight="1">
      <c r="A26" s="23" t="s">
        <v>28</v>
      </c>
      <c r="B26" s="24" t="s">
        <v>29</v>
      </c>
      <c r="C26" s="25"/>
      <c r="D26" s="25"/>
      <c r="E26" s="25"/>
      <c r="F26" s="25"/>
      <c r="G26" s="25"/>
      <c r="H26" s="25"/>
      <c r="I26" s="25"/>
      <c r="J26" s="4"/>
    </row>
    <row r="27" ht="31.5" customHeight="1">
      <c r="A27" s="26" t="s">
        <v>30</v>
      </c>
      <c r="B27" s="27" t="s">
        <v>31</v>
      </c>
      <c r="J27" s="28"/>
    </row>
    <row r="28" ht="31.5" customHeight="1">
      <c r="A28" s="26" t="s">
        <v>32</v>
      </c>
      <c r="B28" s="27" t="s">
        <v>33</v>
      </c>
      <c r="J28" s="28"/>
    </row>
    <row r="29" ht="31.5" customHeight="1">
      <c r="A29" s="26" t="s">
        <v>34</v>
      </c>
      <c r="B29" s="27" t="s">
        <v>35</v>
      </c>
      <c r="J29" s="28"/>
    </row>
    <row r="30" ht="31.5" customHeight="1">
      <c r="A30" s="26" t="s">
        <v>36</v>
      </c>
      <c r="B30" s="27" t="s">
        <v>37</v>
      </c>
      <c r="J30" s="28"/>
    </row>
    <row r="31" ht="31.5" customHeight="1">
      <c r="A31" s="29" t="s">
        <v>38</v>
      </c>
      <c r="B31" s="30" t="s">
        <v>39</v>
      </c>
      <c r="C31" s="31"/>
      <c r="D31" s="31"/>
      <c r="E31" s="31"/>
      <c r="F31" s="31"/>
      <c r="G31" s="31"/>
      <c r="H31" s="31"/>
      <c r="I31" s="31"/>
      <c r="J31" s="6"/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1">
    <mergeCell ref="A1:J2"/>
    <mergeCell ref="A4:B4"/>
    <mergeCell ref="D4:E4"/>
    <mergeCell ref="G4:H4"/>
    <mergeCell ref="A5:B6"/>
    <mergeCell ref="D5:E6"/>
    <mergeCell ref="G5:H6"/>
    <mergeCell ref="A24:J24"/>
    <mergeCell ref="B26:J26"/>
    <mergeCell ref="B27:J27"/>
    <mergeCell ref="B28:J28"/>
    <mergeCell ref="B29:J29"/>
    <mergeCell ref="B30:J30"/>
    <mergeCell ref="B31:J31"/>
    <mergeCell ref="A8:B8"/>
    <mergeCell ref="D8:E8"/>
    <mergeCell ref="G8:H8"/>
    <mergeCell ref="A9:B10"/>
    <mergeCell ref="D9:E10"/>
    <mergeCell ref="G9:H10"/>
    <mergeCell ref="A12:J1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2.0"/>
    <col customWidth="1" min="3" max="3" width="30.0"/>
    <col customWidth="1" min="4" max="4" width="22.0"/>
    <col customWidth="1" min="5" max="5" width="34.0"/>
    <col customWidth="1" min="6" max="6" width="20.0"/>
    <col customWidth="1" min="7" max="7" width="10.0"/>
    <col customWidth="1" min="8" max="10" width="12.0"/>
    <col customWidth="1" min="11" max="11" width="34.0"/>
    <col customWidth="1" min="12" max="26" width="8.63"/>
  </cols>
  <sheetData>
    <row r="1" ht="27.75" customHeight="1">
      <c r="A1" s="1" t="s">
        <v>40</v>
      </c>
    </row>
    <row r="2" ht="27.75" customHeight="1"/>
    <row r="3" ht="36.0" customHeight="1">
      <c r="A3" s="32" t="s">
        <v>41</v>
      </c>
      <c r="B3" s="32" t="s">
        <v>42</v>
      </c>
      <c r="C3" s="32" t="s">
        <v>43</v>
      </c>
      <c r="D3" s="32" t="s">
        <v>44</v>
      </c>
      <c r="E3" s="32" t="s">
        <v>45</v>
      </c>
      <c r="F3" s="32" t="s">
        <v>46</v>
      </c>
      <c r="G3" s="32" t="s">
        <v>47</v>
      </c>
      <c r="H3" s="32" t="s">
        <v>48</v>
      </c>
      <c r="I3" s="32" t="s">
        <v>49</v>
      </c>
      <c r="J3" s="32" t="s">
        <v>50</v>
      </c>
      <c r="K3" s="32" t="s">
        <v>51</v>
      </c>
    </row>
    <row r="4" ht="42.0" customHeight="1">
      <c r="A4" s="33" t="s">
        <v>52</v>
      </c>
      <c r="B4" s="34" t="s">
        <v>53</v>
      </c>
      <c r="C4" s="35" t="s">
        <v>54</v>
      </c>
      <c r="D4" s="35" t="s">
        <v>55</v>
      </c>
      <c r="E4" s="35" t="s">
        <v>56</v>
      </c>
      <c r="F4" s="35" t="s">
        <v>57</v>
      </c>
      <c r="G4" s="34" t="s">
        <v>58</v>
      </c>
      <c r="H4" s="34" t="s">
        <v>59</v>
      </c>
      <c r="I4" s="34"/>
      <c r="J4" s="36"/>
      <c r="K4" s="37" t="s">
        <v>60</v>
      </c>
    </row>
    <row r="5" ht="42.0" customHeight="1">
      <c r="A5" s="38" t="s">
        <v>61</v>
      </c>
      <c r="B5" s="39" t="s">
        <v>62</v>
      </c>
      <c r="C5" s="40" t="s">
        <v>63</v>
      </c>
      <c r="D5" s="40" t="s">
        <v>64</v>
      </c>
      <c r="E5" s="40" t="s">
        <v>65</v>
      </c>
      <c r="F5" s="40" t="s">
        <v>66</v>
      </c>
      <c r="G5" s="39" t="s">
        <v>58</v>
      </c>
      <c r="H5" s="39" t="s">
        <v>59</v>
      </c>
      <c r="I5" s="39"/>
      <c r="J5" s="41"/>
      <c r="K5" s="42"/>
    </row>
    <row r="6" ht="42.0" customHeight="1">
      <c r="A6" s="38" t="s">
        <v>67</v>
      </c>
      <c r="B6" s="39" t="s">
        <v>68</v>
      </c>
      <c r="C6" s="40" t="s">
        <v>69</v>
      </c>
      <c r="D6" s="40" t="s">
        <v>70</v>
      </c>
      <c r="E6" s="40" t="s">
        <v>71</v>
      </c>
      <c r="F6" s="40" t="s">
        <v>72</v>
      </c>
      <c r="G6" s="39" t="s">
        <v>58</v>
      </c>
      <c r="H6" s="39" t="s">
        <v>59</v>
      </c>
      <c r="I6" s="39"/>
      <c r="J6" s="41"/>
      <c r="K6" s="42" t="s">
        <v>73</v>
      </c>
    </row>
    <row r="7" ht="42.0" customHeight="1">
      <c r="A7" s="38" t="s">
        <v>74</v>
      </c>
      <c r="B7" s="39" t="s">
        <v>75</v>
      </c>
      <c r="C7" s="40" t="s">
        <v>76</v>
      </c>
      <c r="D7" s="40" t="s">
        <v>77</v>
      </c>
      <c r="E7" s="40" t="s">
        <v>78</v>
      </c>
      <c r="F7" s="40" t="s">
        <v>79</v>
      </c>
      <c r="G7" s="39" t="s">
        <v>58</v>
      </c>
      <c r="H7" s="39" t="s">
        <v>59</v>
      </c>
      <c r="I7" s="39"/>
      <c r="J7" s="41"/>
      <c r="K7" s="42"/>
    </row>
    <row r="8" ht="42.0" customHeight="1">
      <c r="A8" s="38" t="s">
        <v>80</v>
      </c>
      <c r="B8" s="39" t="s">
        <v>81</v>
      </c>
      <c r="C8" s="40" t="s">
        <v>82</v>
      </c>
      <c r="D8" s="40" t="s">
        <v>83</v>
      </c>
      <c r="E8" s="40" t="s">
        <v>84</v>
      </c>
      <c r="F8" s="40" t="s">
        <v>85</v>
      </c>
      <c r="G8" s="39" t="s">
        <v>58</v>
      </c>
      <c r="H8" s="39" t="s">
        <v>59</v>
      </c>
      <c r="I8" s="39"/>
      <c r="J8" s="41"/>
      <c r="K8" s="42" t="s">
        <v>86</v>
      </c>
    </row>
    <row r="9" ht="42.0" customHeight="1">
      <c r="A9" s="38" t="s">
        <v>87</v>
      </c>
      <c r="B9" s="39" t="s">
        <v>88</v>
      </c>
      <c r="C9" s="40" t="s">
        <v>89</v>
      </c>
      <c r="D9" s="40" t="s">
        <v>90</v>
      </c>
      <c r="E9" s="40" t="s">
        <v>91</v>
      </c>
      <c r="F9" s="40" t="s">
        <v>92</v>
      </c>
      <c r="G9" s="39" t="s">
        <v>58</v>
      </c>
      <c r="H9" s="39" t="s">
        <v>59</v>
      </c>
      <c r="I9" s="39"/>
      <c r="J9" s="41"/>
      <c r="K9" s="42"/>
    </row>
    <row r="10" ht="42.0" customHeight="1">
      <c r="A10" s="38" t="s">
        <v>93</v>
      </c>
      <c r="B10" s="39" t="s">
        <v>94</v>
      </c>
      <c r="C10" s="40" t="s">
        <v>95</v>
      </c>
      <c r="D10" s="40" t="s">
        <v>96</v>
      </c>
      <c r="E10" s="40" t="s">
        <v>97</v>
      </c>
      <c r="F10" s="40" t="s">
        <v>98</v>
      </c>
      <c r="G10" s="39" t="s">
        <v>58</v>
      </c>
      <c r="H10" s="39" t="s">
        <v>59</v>
      </c>
      <c r="I10" s="39"/>
      <c r="J10" s="41"/>
      <c r="K10" s="42"/>
    </row>
    <row r="11" ht="42.0" customHeight="1">
      <c r="A11" s="38" t="s">
        <v>99</v>
      </c>
      <c r="B11" s="39" t="s">
        <v>32</v>
      </c>
      <c r="C11" s="40" t="s">
        <v>100</v>
      </c>
      <c r="D11" s="40" t="s">
        <v>101</v>
      </c>
      <c r="E11" s="40" t="s">
        <v>102</v>
      </c>
      <c r="F11" s="40" t="s">
        <v>103</v>
      </c>
      <c r="G11" s="39" t="s">
        <v>58</v>
      </c>
      <c r="H11" s="39" t="s">
        <v>59</v>
      </c>
      <c r="I11" s="39"/>
      <c r="J11" s="41"/>
      <c r="K11" s="42" t="s">
        <v>104</v>
      </c>
    </row>
    <row r="12" ht="42.0" customHeight="1">
      <c r="A12" s="38" t="s">
        <v>105</v>
      </c>
      <c r="B12" s="39" t="s">
        <v>34</v>
      </c>
      <c r="C12" s="40" t="s">
        <v>106</v>
      </c>
      <c r="D12" s="40" t="s">
        <v>107</v>
      </c>
      <c r="E12" s="40" t="s">
        <v>108</v>
      </c>
      <c r="F12" s="40" t="s">
        <v>109</v>
      </c>
      <c r="G12" s="39" t="s">
        <v>58</v>
      </c>
      <c r="H12" s="39" t="s">
        <v>59</v>
      </c>
      <c r="I12" s="39"/>
      <c r="J12" s="41"/>
      <c r="K12" s="42" t="s">
        <v>110</v>
      </c>
    </row>
    <row r="13" ht="42.0" customHeight="1">
      <c r="A13" s="43" t="s">
        <v>111</v>
      </c>
      <c r="B13" s="44" t="s">
        <v>112</v>
      </c>
      <c r="C13" s="45" t="s">
        <v>113</v>
      </c>
      <c r="D13" s="45" t="s">
        <v>114</v>
      </c>
      <c r="E13" s="45" t="s">
        <v>115</v>
      </c>
      <c r="F13" s="45" t="s">
        <v>116</v>
      </c>
      <c r="G13" s="44" t="s">
        <v>117</v>
      </c>
      <c r="H13" s="44" t="s">
        <v>59</v>
      </c>
      <c r="I13" s="44"/>
      <c r="J13" s="46"/>
      <c r="K13" s="47" t="s">
        <v>118</v>
      </c>
    </row>
    <row r="14">
      <c r="A14" s="48"/>
      <c r="B14" s="48"/>
      <c r="G14" s="48"/>
      <c r="H14" s="48"/>
      <c r="I14" s="48"/>
      <c r="J14" s="49"/>
    </row>
    <row r="15">
      <c r="A15" s="48"/>
      <c r="B15" s="48"/>
      <c r="G15" s="48"/>
      <c r="H15" s="48"/>
      <c r="I15" s="48"/>
      <c r="J15" s="49"/>
    </row>
    <row r="16">
      <c r="A16" s="48"/>
      <c r="B16" s="48"/>
      <c r="G16" s="48"/>
      <c r="H16" s="48"/>
      <c r="I16" s="48"/>
      <c r="J16" s="49"/>
    </row>
    <row r="17">
      <c r="A17" s="48"/>
      <c r="B17" s="48"/>
      <c r="G17" s="48"/>
      <c r="H17" s="48"/>
      <c r="I17" s="48"/>
      <c r="J17" s="49"/>
    </row>
    <row r="18">
      <c r="A18" s="48"/>
      <c r="B18" s="48"/>
      <c r="G18" s="48"/>
      <c r="H18" s="48"/>
      <c r="I18" s="48"/>
      <c r="J18" s="49"/>
    </row>
    <row r="19">
      <c r="A19" s="48"/>
      <c r="B19" s="48"/>
      <c r="G19" s="48"/>
      <c r="H19" s="48"/>
      <c r="I19" s="48"/>
      <c r="J19" s="49"/>
    </row>
    <row r="20">
      <c r="A20" s="48"/>
      <c r="B20" s="48"/>
      <c r="G20" s="48"/>
      <c r="H20" s="48"/>
      <c r="I20" s="48"/>
      <c r="J20" s="49"/>
    </row>
    <row r="21" ht="15.75" customHeight="1">
      <c r="A21" s="48"/>
      <c r="B21" s="48"/>
      <c r="G21" s="48"/>
      <c r="H21" s="48"/>
      <c r="I21" s="48"/>
      <c r="J21" s="49"/>
    </row>
    <row r="22" ht="15.75" customHeight="1">
      <c r="A22" s="48"/>
      <c r="B22" s="48"/>
      <c r="G22" s="48"/>
      <c r="H22" s="48"/>
      <c r="I22" s="48"/>
      <c r="J22" s="49"/>
    </row>
    <row r="23" ht="15.75" customHeight="1">
      <c r="A23" s="48"/>
      <c r="B23" s="48"/>
      <c r="G23" s="48"/>
      <c r="H23" s="48"/>
      <c r="I23" s="48"/>
      <c r="J23" s="49"/>
    </row>
    <row r="24" ht="15.75" customHeight="1">
      <c r="A24" s="48"/>
      <c r="B24" s="48"/>
      <c r="G24" s="48"/>
      <c r="H24" s="48"/>
      <c r="I24" s="48"/>
      <c r="J24" s="49"/>
    </row>
    <row r="25" ht="15.75" customHeight="1">
      <c r="A25" s="48"/>
      <c r="B25" s="48"/>
      <c r="G25" s="48"/>
      <c r="H25" s="48"/>
      <c r="I25" s="48"/>
      <c r="J25" s="49"/>
    </row>
    <row r="26" ht="15.75" customHeight="1">
      <c r="A26" s="48"/>
      <c r="B26" s="48"/>
      <c r="G26" s="48"/>
      <c r="H26" s="48"/>
      <c r="I26" s="48"/>
      <c r="J26" s="49"/>
    </row>
    <row r="27" ht="15.75" customHeight="1">
      <c r="A27" s="48"/>
      <c r="B27" s="48"/>
      <c r="G27" s="48"/>
      <c r="H27" s="48"/>
      <c r="I27" s="48"/>
      <c r="J27" s="49"/>
    </row>
    <row r="28" ht="15.75" customHeight="1">
      <c r="A28" s="48"/>
      <c r="B28" s="48"/>
      <c r="G28" s="48"/>
      <c r="H28" s="48"/>
      <c r="I28" s="48"/>
      <c r="J28" s="49"/>
    </row>
    <row r="29" ht="15.75" customHeight="1">
      <c r="A29" s="48"/>
      <c r="B29" s="48"/>
      <c r="G29" s="48"/>
      <c r="H29" s="48"/>
      <c r="I29" s="48"/>
      <c r="J29" s="49"/>
    </row>
    <row r="30" ht="15.75" customHeight="1">
      <c r="A30" s="48"/>
      <c r="B30" s="48"/>
      <c r="G30" s="48"/>
      <c r="H30" s="48"/>
      <c r="I30" s="48"/>
      <c r="J30" s="49"/>
    </row>
    <row r="31" ht="15.75" customHeight="1">
      <c r="A31" s="48"/>
      <c r="B31" s="48"/>
      <c r="G31" s="48"/>
      <c r="H31" s="48"/>
      <c r="I31" s="48"/>
      <c r="J31" s="49"/>
    </row>
    <row r="32" ht="15.75" customHeight="1">
      <c r="A32" s="48"/>
      <c r="B32" s="48"/>
      <c r="G32" s="48"/>
      <c r="H32" s="48"/>
      <c r="I32" s="48"/>
      <c r="J32" s="49"/>
    </row>
    <row r="33" ht="15.75" customHeight="1">
      <c r="A33" s="48"/>
      <c r="B33" s="48"/>
      <c r="G33" s="48"/>
      <c r="H33" s="48"/>
      <c r="I33" s="48"/>
      <c r="J33" s="49"/>
    </row>
    <row r="34" ht="15.75" customHeight="1">
      <c r="A34" s="48"/>
      <c r="B34" s="48"/>
      <c r="G34" s="48"/>
      <c r="H34" s="48"/>
      <c r="I34" s="48"/>
      <c r="J34" s="49"/>
    </row>
    <row r="35" ht="15.75" customHeight="1">
      <c r="A35" s="48"/>
      <c r="B35" s="48"/>
      <c r="G35" s="48"/>
      <c r="H35" s="48"/>
      <c r="I35" s="48"/>
      <c r="J35" s="49"/>
    </row>
    <row r="36" ht="15.75" customHeight="1">
      <c r="A36" s="48"/>
      <c r="B36" s="48"/>
      <c r="G36" s="48"/>
      <c r="H36" s="48"/>
      <c r="I36" s="48"/>
      <c r="J36" s="49"/>
    </row>
    <row r="37" ht="15.75" customHeight="1">
      <c r="A37" s="48"/>
      <c r="B37" s="48"/>
      <c r="G37" s="48"/>
      <c r="H37" s="48"/>
      <c r="I37" s="48"/>
      <c r="J37" s="49"/>
    </row>
    <row r="38" ht="15.75" customHeight="1">
      <c r="A38" s="48"/>
      <c r="B38" s="48"/>
      <c r="G38" s="48"/>
      <c r="H38" s="48"/>
      <c r="I38" s="48"/>
      <c r="J38" s="49"/>
    </row>
    <row r="39" ht="15.75" customHeight="1">
      <c r="A39" s="48"/>
      <c r="B39" s="48"/>
      <c r="G39" s="48"/>
      <c r="H39" s="48"/>
      <c r="I39" s="48"/>
      <c r="J39" s="49"/>
    </row>
    <row r="40" ht="15.75" customHeight="1">
      <c r="A40" s="48"/>
      <c r="B40" s="48"/>
      <c r="G40" s="48"/>
      <c r="H40" s="48"/>
      <c r="I40" s="48"/>
      <c r="J40" s="49"/>
    </row>
    <row r="41" ht="15.75" customHeight="1">
      <c r="A41" s="48"/>
      <c r="B41" s="48"/>
      <c r="G41" s="48"/>
      <c r="H41" s="48"/>
      <c r="I41" s="48"/>
      <c r="J41" s="49"/>
    </row>
    <row r="42" ht="15.75" customHeight="1">
      <c r="A42" s="48"/>
      <c r="B42" s="48"/>
      <c r="G42" s="48"/>
      <c r="H42" s="48"/>
      <c r="I42" s="48"/>
      <c r="J42" s="49"/>
    </row>
    <row r="43" ht="15.75" customHeight="1">
      <c r="A43" s="48"/>
      <c r="B43" s="48"/>
      <c r="G43" s="48"/>
      <c r="H43" s="48"/>
      <c r="I43" s="48"/>
      <c r="J43" s="49"/>
    </row>
    <row r="44" ht="15.75" customHeight="1">
      <c r="A44" s="48"/>
      <c r="B44" s="48"/>
      <c r="G44" s="48"/>
      <c r="H44" s="48"/>
      <c r="I44" s="48"/>
      <c r="J44" s="49"/>
    </row>
    <row r="45" ht="15.75" customHeight="1">
      <c r="A45" s="48"/>
      <c r="B45" s="48"/>
      <c r="G45" s="48"/>
      <c r="H45" s="48"/>
      <c r="I45" s="48"/>
      <c r="J45" s="49"/>
    </row>
    <row r="46" ht="15.75" customHeight="1">
      <c r="A46" s="48"/>
      <c r="B46" s="48"/>
      <c r="G46" s="48"/>
      <c r="H46" s="48"/>
      <c r="I46" s="48"/>
      <c r="J46" s="49"/>
    </row>
    <row r="47" ht="15.75" customHeight="1">
      <c r="A47" s="48"/>
      <c r="B47" s="48"/>
      <c r="G47" s="48"/>
      <c r="H47" s="48"/>
      <c r="I47" s="48"/>
      <c r="J47" s="49"/>
    </row>
    <row r="48" ht="15.75" customHeight="1">
      <c r="A48" s="48"/>
      <c r="B48" s="48"/>
      <c r="G48" s="48"/>
      <c r="H48" s="48"/>
      <c r="I48" s="48"/>
      <c r="J48" s="49"/>
    </row>
    <row r="49" ht="15.75" customHeight="1">
      <c r="A49" s="48"/>
      <c r="B49" s="48"/>
      <c r="G49" s="48"/>
      <c r="H49" s="48"/>
      <c r="I49" s="48"/>
      <c r="J49" s="49"/>
    </row>
    <row r="50" ht="15.75" customHeight="1">
      <c r="A50" s="48"/>
      <c r="B50" s="48"/>
      <c r="G50" s="48"/>
      <c r="H50" s="48"/>
      <c r="I50" s="48"/>
      <c r="J50" s="49"/>
    </row>
    <row r="51" ht="15.75" customHeight="1">
      <c r="A51" s="48"/>
      <c r="B51" s="48"/>
      <c r="G51" s="48"/>
      <c r="H51" s="48"/>
      <c r="I51" s="48"/>
      <c r="J51" s="49"/>
    </row>
    <row r="52" ht="15.75" customHeight="1">
      <c r="A52" s="48"/>
      <c r="B52" s="48"/>
      <c r="G52" s="48"/>
      <c r="H52" s="48"/>
      <c r="I52" s="48"/>
      <c r="J52" s="49"/>
    </row>
    <row r="53" ht="15.75" customHeight="1">
      <c r="A53" s="48"/>
      <c r="B53" s="48"/>
      <c r="G53" s="48"/>
      <c r="H53" s="48"/>
      <c r="I53" s="48"/>
      <c r="J53" s="49"/>
    </row>
    <row r="54" ht="15.75" customHeight="1">
      <c r="A54" s="48"/>
      <c r="B54" s="48"/>
      <c r="G54" s="48"/>
      <c r="H54" s="48"/>
      <c r="I54" s="48"/>
      <c r="J54" s="49"/>
    </row>
    <row r="55" ht="15.75" customHeight="1">
      <c r="A55" s="48"/>
      <c r="B55" s="48"/>
      <c r="G55" s="48"/>
      <c r="H55" s="48"/>
      <c r="I55" s="48"/>
      <c r="J55" s="49"/>
    </row>
    <row r="56" ht="15.75" customHeight="1">
      <c r="A56" s="48"/>
      <c r="B56" s="48"/>
      <c r="G56" s="48"/>
      <c r="H56" s="48"/>
      <c r="I56" s="48"/>
      <c r="J56" s="49"/>
    </row>
    <row r="57" ht="15.75" customHeight="1">
      <c r="A57" s="48"/>
      <c r="B57" s="48"/>
      <c r="G57" s="48"/>
      <c r="H57" s="48"/>
      <c r="I57" s="48"/>
      <c r="J57" s="49"/>
    </row>
    <row r="58" ht="15.75" customHeight="1">
      <c r="A58" s="48"/>
      <c r="B58" s="48"/>
      <c r="G58" s="48"/>
      <c r="H58" s="48"/>
      <c r="I58" s="48"/>
      <c r="J58" s="49"/>
    </row>
    <row r="59" ht="15.75" customHeight="1">
      <c r="A59" s="48"/>
      <c r="B59" s="48"/>
      <c r="G59" s="48"/>
      <c r="H59" s="48"/>
      <c r="I59" s="48"/>
      <c r="J59" s="49"/>
    </row>
    <row r="60" ht="15.75" customHeight="1">
      <c r="A60" s="48"/>
      <c r="B60" s="48"/>
      <c r="G60" s="48"/>
      <c r="H60" s="48"/>
      <c r="I60" s="48"/>
      <c r="J60" s="49"/>
    </row>
    <row r="61" ht="15.75" customHeight="1">
      <c r="A61" s="48"/>
      <c r="B61" s="48"/>
      <c r="G61" s="48"/>
      <c r="H61" s="48"/>
      <c r="I61" s="48"/>
      <c r="J61" s="49"/>
    </row>
    <row r="62" ht="15.75" customHeight="1">
      <c r="A62" s="48"/>
      <c r="B62" s="48"/>
      <c r="G62" s="48"/>
      <c r="H62" s="48"/>
      <c r="I62" s="48"/>
      <c r="J62" s="49"/>
    </row>
    <row r="63" ht="15.75" customHeight="1">
      <c r="A63" s="48"/>
      <c r="B63" s="48"/>
      <c r="G63" s="48"/>
      <c r="H63" s="48"/>
      <c r="I63" s="48"/>
      <c r="J63" s="49"/>
    </row>
    <row r="64" ht="15.75" customHeight="1">
      <c r="A64" s="48"/>
      <c r="B64" s="48"/>
      <c r="G64" s="48"/>
      <c r="H64" s="48"/>
      <c r="I64" s="48"/>
      <c r="J64" s="49"/>
    </row>
    <row r="65" ht="15.75" customHeight="1">
      <c r="A65" s="48"/>
      <c r="B65" s="48"/>
      <c r="G65" s="48"/>
      <c r="H65" s="48"/>
      <c r="I65" s="48"/>
      <c r="J65" s="49"/>
    </row>
    <row r="66" ht="15.75" customHeight="1">
      <c r="A66" s="48"/>
      <c r="B66" s="48"/>
      <c r="G66" s="48"/>
      <c r="H66" s="48"/>
      <c r="I66" s="48"/>
      <c r="J66" s="49"/>
    </row>
    <row r="67" ht="15.75" customHeight="1">
      <c r="A67" s="48"/>
      <c r="B67" s="48"/>
      <c r="G67" s="48"/>
      <c r="H67" s="48"/>
      <c r="I67" s="48"/>
      <c r="J67" s="49"/>
    </row>
    <row r="68" ht="15.75" customHeight="1">
      <c r="A68" s="48"/>
      <c r="B68" s="48"/>
      <c r="G68" s="48"/>
      <c r="H68" s="48"/>
      <c r="I68" s="48"/>
      <c r="J68" s="49"/>
    </row>
    <row r="69" ht="15.75" customHeight="1">
      <c r="A69" s="48"/>
      <c r="B69" s="48"/>
      <c r="G69" s="48"/>
      <c r="H69" s="48"/>
      <c r="I69" s="48"/>
      <c r="J69" s="49"/>
    </row>
    <row r="70" ht="15.75" customHeight="1">
      <c r="A70" s="48"/>
      <c r="B70" s="48"/>
      <c r="G70" s="48"/>
      <c r="H70" s="48"/>
      <c r="I70" s="48"/>
      <c r="J70" s="49"/>
    </row>
    <row r="71" ht="15.75" customHeight="1">
      <c r="A71" s="48"/>
      <c r="B71" s="48"/>
      <c r="G71" s="48"/>
      <c r="H71" s="48"/>
      <c r="I71" s="48"/>
      <c r="J71" s="49"/>
    </row>
    <row r="72" ht="15.75" customHeight="1">
      <c r="A72" s="48"/>
      <c r="B72" s="48"/>
      <c r="G72" s="48"/>
      <c r="H72" s="48"/>
      <c r="I72" s="48"/>
      <c r="J72" s="49"/>
    </row>
    <row r="73" ht="15.75" customHeight="1">
      <c r="A73" s="48"/>
      <c r="B73" s="48"/>
      <c r="G73" s="48"/>
      <c r="H73" s="48"/>
      <c r="I73" s="48"/>
      <c r="J73" s="49"/>
    </row>
    <row r="74" ht="15.75" customHeight="1">
      <c r="A74" s="48"/>
      <c r="B74" s="48"/>
      <c r="G74" s="48"/>
      <c r="H74" s="48"/>
      <c r="I74" s="48"/>
      <c r="J74" s="49"/>
    </row>
    <row r="75" ht="15.75" customHeight="1">
      <c r="A75" s="48"/>
      <c r="B75" s="48"/>
      <c r="G75" s="48"/>
      <c r="H75" s="48"/>
      <c r="I75" s="48"/>
      <c r="J75" s="49"/>
    </row>
    <row r="76" ht="15.75" customHeight="1">
      <c r="A76" s="48"/>
      <c r="B76" s="48"/>
      <c r="G76" s="48"/>
      <c r="H76" s="48"/>
      <c r="I76" s="48"/>
      <c r="J76" s="49"/>
    </row>
    <row r="77" ht="15.75" customHeight="1">
      <c r="A77" s="48"/>
      <c r="B77" s="48"/>
      <c r="G77" s="48"/>
      <c r="H77" s="48"/>
      <c r="I77" s="48"/>
      <c r="J77" s="49"/>
    </row>
    <row r="78" ht="15.75" customHeight="1">
      <c r="A78" s="48"/>
      <c r="B78" s="48"/>
      <c r="G78" s="48"/>
      <c r="H78" s="48"/>
      <c r="I78" s="48"/>
      <c r="J78" s="49"/>
    </row>
    <row r="79" ht="15.75" customHeight="1">
      <c r="A79" s="48"/>
      <c r="B79" s="48"/>
      <c r="G79" s="48"/>
      <c r="H79" s="48"/>
      <c r="I79" s="48"/>
      <c r="J79" s="49"/>
    </row>
    <row r="80" ht="15.75" customHeight="1">
      <c r="A80" s="48"/>
      <c r="B80" s="48"/>
      <c r="G80" s="48"/>
      <c r="H80" s="48"/>
      <c r="I80" s="48"/>
      <c r="J80" s="49"/>
    </row>
    <row r="81" ht="15.75" customHeight="1">
      <c r="A81" s="48"/>
      <c r="B81" s="48"/>
      <c r="G81" s="48"/>
      <c r="H81" s="48"/>
      <c r="I81" s="48"/>
      <c r="J81" s="49"/>
    </row>
    <row r="82" ht="15.75" customHeight="1">
      <c r="A82" s="48"/>
      <c r="B82" s="48"/>
      <c r="G82" s="48"/>
      <c r="H82" s="48"/>
      <c r="I82" s="48"/>
      <c r="J82" s="49"/>
    </row>
    <row r="83" ht="15.75" customHeight="1">
      <c r="A83" s="48"/>
      <c r="B83" s="48"/>
      <c r="G83" s="48"/>
      <c r="H83" s="48"/>
      <c r="I83" s="48"/>
      <c r="J83" s="49"/>
    </row>
    <row r="84" ht="15.75" customHeight="1">
      <c r="A84" s="48"/>
      <c r="B84" s="48"/>
      <c r="G84" s="48"/>
      <c r="H84" s="48"/>
      <c r="I84" s="48"/>
      <c r="J84" s="49"/>
    </row>
    <row r="85" ht="15.75" customHeight="1">
      <c r="A85" s="48"/>
      <c r="B85" s="48"/>
      <c r="G85" s="48"/>
      <c r="H85" s="48"/>
      <c r="I85" s="48"/>
      <c r="J85" s="49"/>
    </row>
    <row r="86" ht="15.75" customHeight="1">
      <c r="A86" s="48"/>
      <c r="B86" s="48"/>
      <c r="G86" s="48"/>
      <c r="H86" s="48"/>
      <c r="I86" s="48"/>
      <c r="J86" s="49"/>
    </row>
    <row r="87" ht="15.75" customHeight="1">
      <c r="A87" s="48"/>
      <c r="B87" s="48"/>
      <c r="G87" s="48"/>
      <c r="H87" s="48"/>
      <c r="I87" s="48"/>
      <c r="J87" s="49"/>
    </row>
    <row r="88" ht="15.75" customHeight="1">
      <c r="A88" s="48"/>
      <c r="B88" s="48"/>
      <c r="G88" s="48"/>
      <c r="H88" s="48"/>
      <c r="I88" s="48"/>
      <c r="J88" s="49"/>
    </row>
    <row r="89" ht="15.75" customHeight="1">
      <c r="A89" s="48"/>
      <c r="B89" s="48"/>
      <c r="G89" s="48"/>
      <c r="H89" s="48"/>
      <c r="I89" s="48"/>
      <c r="J89" s="49"/>
    </row>
    <row r="90" ht="15.75" customHeight="1">
      <c r="A90" s="48"/>
      <c r="B90" s="48"/>
      <c r="G90" s="48"/>
      <c r="H90" s="48"/>
      <c r="I90" s="48"/>
      <c r="J90" s="49"/>
    </row>
    <row r="91" ht="15.75" customHeight="1">
      <c r="A91" s="48"/>
      <c r="B91" s="48"/>
      <c r="G91" s="48"/>
      <c r="H91" s="48"/>
      <c r="I91" s="48"/>
      <c r="J91" s="49"/>
    </row>
    <row r="92" ht="15.75" customHeight="1">
      <c r="A92" s="48"/>
      <c r="B92" s="48"/>
      <c r="G92" s="48"/>
      <c r="H92" s="48"/>
      <c r="I92" s="48"/>
      <c r="J92" s="49"/>
    </row>
    <row r="93" ht="15.75" customHeight="1">
      <c r="A93" s="48"/>
      <c r="B93" s="48"/>
      <c r="G93" s="48"/>
      <c r="H93" s="48"/>
      <c r="I93" s="48"/>
      <c r="J93" s="49"/>
    </row>
    <row r="94" ht="15.75" customHeight="1">
      <c r="A94" s="48"/>
      <c r="B94" s="48"/>
      <c r="G94" s="48"/>
      <c r="H94" s="48"/>
      <c r="I94" s="48"/>
      <c r="J94" s="49"/>
    </row>
    <row r="95" ht="15.75" customHeight="1">
      <c r="A95" s="48"/>
      <c r="B95" s="48"/>
      <c r="G95" s="48"/>
      <c r="H95" s="48"/>
      <c r="I95" s="48"/>
      <c r="J95" s="49"/>
    </row>
    <row r="96" ht="15.75" customHeight="1">
      <c r="A96" s="48"/>
      <c r="B96" s="48"/>
      <c r="G96" s="48"/>
      <c r="H96" s="48"/>
      <c r="I96" s="48"/>
      <c r="J96" s="49"/>
    </row>
    <row r="97" ht="15.75" customHeight="1">
      <c r="A97" s="48"/>
      <c r="B97" s="48"/>
      <c r="G97" s="48"/>
      <c r="H97" s="48"/>
      <c r="I97" s="48"/>
      <c r="J97" s="49"/>
    </row>
    <row r="98" ht="15.75" customHeight="1">
      <c r="A98" s="48"/>
      <c r="B98" s="48"/>
      <c r="G98" s="48"/>
      <c r="H98" s="48"/>
      <c r="I98" s="48"/>
      <c r="J98" s="49"/>
    </row>
    <row r="99" ht="15.75" customHeight="1">
      <c r="A99" s="48"/>
      <c r="B99" s="48"/>
      <c r="G99" s="48"/>
      <c r="H99" s="48"/>
      <c r="I99" s="48"/>
      <c r="J99" s="49"/>
    </row>
    <row r="100" ht="15.75" customHeight="1">
      <c r="A100" s="48"/>
      <c r="B100" s="48"/>
      <c r="G100" s="48"/>
      <c r="H100" s="48"/>
      <c r="I100" s="48"/>
      <c r="J100" s="49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K2"/>
  </mergeCells>
  <conditionalFormatting sqref="H4:H100">
    <cfRule type="expression" dxfId="4" priority="1">
      <formula>H4="확정"</formula>
    </cfRule>
  </conditionalFormatting>
  <conditionalFormatting sqref="H4:H100">
    <cfRule type="expression" dxfId="5" priority="2">
      <formula>H4="보류"</formula>
    </cfRule>
  </conditionalFormatting>
  <conditionalFormatting sqref="H4:H100">
    <cfRule type="expression" dxfId="6" priority="3">
      <formula>H4="검토 중"</formula>
    </cfRule>
  </conditionalFormatting>
  <dataValidations>
    <dataValidation type="list" allowBlank="1" sqref="H4:H100">
      <formula1>'설정값'!$J$2:$J$5</formula1>
    </dataValidation>
    <dataValidation type="list" allowBlank="1" sqref="G4:G100">
      <formula1>'설정값'!$F$2:$F$5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2" width="13.0"/>
    <col customWidth="1" min="3" max="3" width="30.0"/>
    <col customWidth="1" min="4" max="4" width="12.0"/>
    <col customWidth="1" min="5" max="5" width="10.0"/>
    <col customWidth="1" min="6" max="6" width="24.0"/>
    <col customWidth="1" min="7" max="7" width="38.0"/>
    <col customWidth="1" min="8" max="8" width="24.0"/>
    <col customWidth="1" min="9" max="9" width="38.0"/>
    <col customWidth="1" min="10" max="10" width="13.0"/>
    <col customWidth="1" min="11" max="11" width="14.0"/>
    <col customWidth="1" min="12" max="12" width="12.0"/>
    <col customWidth="1" min="13" max="13" width="13.0"/>
    <col customWidth="1" min="14" max="14" width="34.0"/>
    <col customWidth="1" min="15" max="26" width="8.63"/>
  </cols>
  <sheetData>
    <row r="1" ht="27.75" customHeight="1">
      <c r="A1" s="1" t="s">
        <v>119</v>
      </c>
    </row>
    <row r="2" ht="27.75" customHeight="1"/>
    <row r="3" ht="36.0" customHeight="1">
      <c r="A3" s="32" t="s">
        <v>120</v>
      </c>
      <c r="B3" s="32" t="s">
        <v>121</v>
      </c>
      <c r="C3" s="32" t="s">
        <v>122</v>
      </c>
      <c r="D3" s="32" t="s">
        <v>123</v>
      </c>
      <c r="E3" s="32" t="s">
        <v>47</v>
      </c>
      <c r="F3" s="32" t="s">
        <v>124</v>
      </c>
      <c r="G3" s="32" t="s">
        <v>125</v>
      </c>
      <c r="H3" s="32" t="s">
        <v>126</v>
      </c>
      <c r="I3" s="32" t="s">
        <v>45</v>
      </c>
      <c r="J3" s="32" t="s">
        <v>20</v>
      </c>
      <c r="K3" s="32" t="s">
        <v>127</v>
      </c>
      <c r="L3" s="32" t="s">
        <v>49</v>
      </c>
      <c r="M3" s="32" t="s">
        <v>128</v>
      </c>
      <c r="N3" s="32" t="s">
        <v>51</v>
      </c>
    </row>
    <row r="4" ht="63.75" customHeight="1">
      <c r="A4" s="33" t="s">
        <v>129</v>
      </c>
      <c r="B4" s="34" t="s">
        <v>130</v>
      </c>
      <c r="C4" s="34" t="s">
        <v>131</v>
      </c>
      <c r="D4" s="34" t="s">
        <v>132</v>
      </c>
      <c r="E4" s="34" t="s">
        <v>58</v>
      </c>
      <c r="F4" s="35" t="s">
        <v>133</v>
      </c>
      <c r="G4" s="35" t="s">
        <v>134</v>
      </c>
      <c r="H4" s="35" t="s">
        <v>135</v>
      </c>
      <c r="I4" s="35" t="s">
        <v>136</v>
      </c>
      <c r="J4" s="34" t="s">
        <v>22</v>
      </c>
      <c r="K4" s="34"/>
      <c r="L4" s="34"/>
      <c r="M4" s="36"/>
      <c r="N4" s="37"/>
    </row>
    <row r="5" ht="63.75" customHeight="1">
      <c r="A5" s="38" t="s">
        <v>137</v>
      </c>
      <c r="B5" s="39" t="s">
        <v>130</v>
      </c>
      <c r="C5" s="39" t="s">
        <v>138</v>
      </c>
      <c r="D5" s="39" t="s">
        <v>139</v>
      </c>
      <c r="E5" s="39" t="s">
        <v>117</v>
      </c>
      <c r="F5" s="40" t="s">
        <v>140</v>
      </c>
      <c r="G5" s="40" t="s">
        <v>141</v>
      </c>
      <c r="H5" s="40" t="s">
        <v>63</v>
      </c>
      <c r="I5" s="40" t="s">
        <v>142</v>
      </c>
      <c r="J5" s="39" t="s">
        <v>22</v>
      </c>
      <c r="K5" s="39"/>
      <c r="L5" s="39"/>
      <c r="M5" s="41"/>
      <c r="N5" s="42" t="s">
        <v>143</v>
      </c>
    </row>
    <row r="6" ht="63.75" customHeight="1">
      <c r="A6" s="38" t="s">
        <v>144</v>
      </c>
      <c r="B6" s="39" t="s">
        <v>62</v>
      </c>
      <c r="C6" s="39" t="s">
        <v>145</v>
      </c>
      <c r="D6" s="39" t="s">
        <v>132</v>
      </c>
      <c r="E6" s="39" t="s">
        <v>58</v>
      </c>
      <c r="F6" s="40" t="s">
        <v>146</v>
      </c>
      <c r="G6" s="40" t="s">
        <v>147</v>
      </c>
      <c r="H6" s="40" t="s">
        <v>148</v>
      </c>
      <c r="I6" s="40" t="s">
        <v>149</v>
      </c>
      <c r="J6" s="39" t="s">
        <v>22</v>
      </c>
      <c r="K6" s="39"/>
      <c r="L6" s="39"/>
      <c r="M6" s="41"/>
      <c r="N6" s="42"/>
    </row>
    <row r="7" ht="63.75" customHeight="1">
      <c r="A7" s="38" t="s">
        <v>150</v>
      </c>
      <c r="B7" s="39" t="s">
        <v>62</v>
      </c>
      <c r="C7" s="39" t="s">
        <v>151</v>
      </c>
      <c r="D7" s="39" t="s">
        <v>139</v>
      </c>
      <c r="E7" s="39" t="s">
        <v>117</v>
      </c>
      <c r="F7" s="40" t="s">
        <v>152</v>
      </c>
      <c r="G7" s="40" t="s">
        <v>153</v>
      </c>
      <c r="H7" s="40" t="s">
        <v>154</v>
      </c>
      <c r="I7" s="40" t="s">
        <v>155</v>
      </c>
      <c r="J7" s="39" t="s">
        <v>22</v>
      </c>
      <c r="K7" s="39"/>
      <c r="L7" s="39"/>
      <c r="M7" s="41"/>
      <c r="N7" s="42"/>
    </row>
    <row r="8" ht="63.75" customHeight="1">
      <c r="A8" s="38" t="s">
        <v>156</v>
      </c>
      <c r="B8" s="39" t="s">
        <v>68</v>
      </c>
      <c r="C8" s="39" t="s">
        <v>157</v>
      </c>
      <c r="D8" s="39" t="s">
        <v>132</v>
      </c>
      <c r="E8" s="39" t="s">
        <v>58</v>
      </c>
      <c r="F8" s="40" t="s">
        <v>70</v>
      </c>
      <c r="G8" s="40" t="s">
        <v>158</v>
      </c>
      <c r="H8" s="40" t="s">
        <v>159</v>
      </c>
      <c r="I8" s="40" t="s">
        <v>160</v>
      </c>
      <c r="J8" s="39" t="s">
        <v>22</v>
      </c>
      <c r="K8" s="39"/>
      <c r="L8" s="39"/>
      <c r="M8" s="41"/>
      <c r="N8" s="42"/>
    </row>
    <row r="9" ht="63.75" customHeight="1">
      <c r="A9" s="38" t="s">
        <v>161</v>
      </c>
      <c r="B9" s="39" t="s">
        <v>68</v>
      </c>
      <c r="C9" s="39" t="s">
        <v>162</v>
      </c>
      <c r="D9" s="39" t="s">
        <v>132</v>
      </c>
      <c r="E9" s="39" t="s">
        <v>58</v>
      </c>
      <c r="F9" s="40" t="s">
        <v>69</v>
      </c>
      <c r="G9" s="40" t="s">
        <v>163</v>
      </c>
      <c r="H9" s="40" t="s">
        <v>164</v>
      </c>
      <c r="I9" s="40" t="s">
        <v>165</v>
      </c>
      <c r="J9" s="39" t="s">
        <v>22</v>
      </c>
      <c r="K9" s="39"/>
      <c r="L9" s="39"/>
      <c r="M9" s="41"/>
      <c r="N9" s="42"/>
    </row>
    <row r="10" ht="63.75" customHeight="1">
      <c r="A10" s="38" t="s">
        <v>166</v>
      </c>
      <c r="B10" s="39" t="s">
        <v>75</v>
      </c>
      <c r="C10" s="39" t="s">
        <v>167</v>
      </c>
      <c r="D10" s="39" t="s">
        <v>132</v>
      </c>
      <c r="E10" s="39" t="s">
        <v>58</v>
      </c>
      <c r="F10" s="40" t="s">
        <v>69</v>
      </c>
      <c r="G10" s="40" t="s">
        <v>168</v>
      </c>
      <c r="H10" s="40" t="s">
        <v>169</v>
      </c>
      <c r="I10" s="40" t="s">
        <v>170</v>
      </c>
      <c r="J10" s="39" t="s">
        <v>22</v>
      </c>
      <c r="K10" s="39"/>
      <c r="L10" s="39"/>
      <c r="M10" s="41"/>
      <c r="N10" s="42"/>
    </row>
    <row r="11" ht="63.75" customHeight="1">
      <c r="A11" s="38" t="s">
        <v>171</v>
      </c>
      <c r="B11" s="39" t="s">
        <v>81</v>
      </c>
      <c r="C11" s="39" t="s">
        <v>172</v>
      </c>
      <c r="D11" s="39" t="s">
        <v>132</v>
      </c>
      <c r="E11" s="39" t="s">
        <v>58</v>
      </c>
      <c r="F11" s="40" t="s">
        <v>69</v>
      </c>
      <c r="G11" s="40" t="s">
        <v>173</v>
      </c>
      <c r="H11" s="40" t="s">
        <v>174</v>
      </c>
      <c r="I11" s="40" t="s">
        <v>175</v>
      </c>
      <c r="J11" s="39" t="s">
        <v>22</v>
      </c>
      <c r="K11" s="39"/>
      <c r="L11" s="39"/>
      <c r="M11" s="41"/>
      <c r="N11" s="42"/>
    </row>
    <row r="12" ht="63.75" customHeight="1">
      <c r="A12" s="38" t="s">
        <v>176</v>
      </c>
      <c r="B12" s="39" t="s">
        <v>81</v>
      </c>
      <c r="C12" s="39" t="s">
        <v>177</v>
      </c>
      <c r="D12" s="39" t="s">
        <v>139</v>
      </c>
      <c r="E12" s="39" t="s">
        <v>58</v>
      </c>
      <c r="F12" s="40" t="s">
        <v>69</v>
      </c>
      <c r="G12" s="40" t="s">
        <v>178</v>
      </c>
      <c r="H12" s="40" t="s">
        <v>179</v>
      </c>
      <c r="I12" s="40" t="s">
        <v>180</v>
      </c>
      <c r="J12" s="39" t="s">
        <v>22</v>
      </c>
      <c r="K12" s="39"/>
      <c r="L12" s="39"/>
      <c r="M12" s="41"/>
      <c r="N12" s="42" t="s">
        <v>181</v>
      </c>
    </row>
    <row r="13" ht="63.75" customHeight="1">
      <c r="A13" s="38" t="s">
        <v>182</v>
      </c>
      <c r="B13" s="39" t="s">
        <v>81</v>
      </c>
      <c r="C13" s="39" t="s">
        <v>183</v>
      </c>
      <c r="D13" s="39" t="s">
        <v>139</v>
      </c>
      <c r="E13" s="39" t="s">
        <v>58</v>
      </c>
      <c r="F13" s="40" t="s">
        <v>69</v>
      </c>
      <c r="G13" s="40" t="s">
        <v>184</v>
      </c>
      <c r="H13" s="40" t="s">
        <v>185</v>
      </c>
      <c r="I13" s="40" t="s">
        <v>180</v>
      </c>
      <c r="J13" s="39" t="s">
        <v>22</v>
      </c>
      <c r="K13" s="39"/>
      <c r="L13" s="39"/>
      <c r="M13" s="41"/>
      <c r="N13" s="42"/>
    </row>
    <row r="14" ht="63.75" customHeight="1">
      <c r="A14" s="38" t="s">
        <v>186</v>
      </c>
      <c r="B14" s="39" t="s">
        <v>81</v>
      </c>
      <c r="C14" s="39" t="s">
        <v>187</v>
      </c>
      <c r="D14" s="39" t="s">
        <v>139</v>
      </c>
      <c r="E14" s="39" t="s">
        <v>58</v>
      </c>
      <c r="F14" s="40" t="s">
        <v>69</v>
      </c>
      <c r="G14" s="40" t="s">
        <v>188</v>
      </c>
      <c r="H14" s="40" t="s">
        <v>189</v>
      </c>
      <c r="I14" s="40" t="s">
        <v>180</v>
      </c>
      <c r="J14" s="39" t="s">
        <v>22</v>
      </c>
      <c r="K14" s="39"/>
      <c r="L14" s="39"/>
      <c r="M14" s="41"/>
      <c r="N14" s="42"/>
    </row>
    <row r="15" ht="63.75" customHeight="1">
      <c r="A15" s="38" t="s">
        <v>190</v>
      </c>
      <c r="B15" s="39" t="s">
        <v>88</v>
      </c>
      <c r="C15" s="39" t="s">
        <v>191</v>
      </c>
      <c r="D15" s="39" t="s">
        <v>132</v>
      </c>
      <c r="E15" s="39" t="s">
        <v>58</v>
      </c>
      <c r="F15" s="40" t="s">
        <v>192</v>
      </c>
      <c r="G15" s="40" t="s">
        <v>193</v>
      </c>
      <c r="H15" s="40" t="s">
        <v>194</v>
      </c>
      <c r="I15" s="40" t="s">
        <v>195</v>
      </c>
      <c r="J15" s="39" t="s">
        <v>22</v>
      </c>
      <c r="K15" s="39"/>
      <c r="L15" s="39"/>
      <c r="M15" s="41"/>
      <c r="N15" s="42"/>
    </row>
    <row r="16" ht="63.75" customHeight="1">
      <c r="A16" s="38" t="s">
        <v>196</v>
      </c>
      <c r="B16" s="39" t="s">
        <v>94</v>
      </c>
      <c r="C16" s="39" t="s">
        <v>197</v>
      </c>
      <c r="D16" s="39" t="s">
        <v>132</v>
      </c>
      <c r="E16" s="39" t="s">
        <v>58</v>
      </c>
      <c r="F16" s="40" t="s">
        <v>96</v>
      </c>
      <c r="G16" s="40" t="s">
        <v>198</v>
      </c>
      <c r="H16" s="40" t="s">
        <v>199</v>
      </c>
      <c r="I16" s="40" t="s">
        <v>200</v>
      </c>
      <c r="J16" s="39" t="s">
        <v>22</v>
      </c>
      <c r="K16" s="39"/>
      <c r="L16" s="39"/>
      <c r="M16" s="41"/>
      <c r="N16" s="42"/>
    </row>
    <row r="17" ht="63.75" customHeight="1">
      <c r="A17" s="38" t="s">
        <v>201</v>
      </c>
      <c r="B17" s="39" t="s">
        <v>32</v>
      </c>
      <c r="C17" s="39" t="s">
        <v>202</v>
      </c>
      <c r="D17" s="39" t="s">
        <v>132</v>
      </c>
      <c r="E17" s="39" t="s">
        <v>58</v>
      </c>
      <c r="F17" s="40" t="s">
        <v>203</v>
      </c>
      <c r="G17" s="40" t="s">
        <v>204</v>
      </c>
      <c r="H17" s="40" t="s">
        <v>205</v>
      </c>
      <c r="I17" s="40" t="s">
        <v>206</v>
      </c>
      <c r="J17" s="39" t="s">
        <v>22</v>
      </c>
      <c r="K17" s="39"/>
      <c r="L17" s="39"/>
      <c r="M17" s="41"/>
      <c r="N17" s="42"/>
    </row>
    <row r="18" ht="63.75" customHeight="1">
      <c r="A18" s="38" t="s">
        <v>207</v>
      </c>
      <c r="B18" s="39" t="s">
        <v>32</v>
      </c>
      <c r="C18" s="39" t="s">
        <v>208</v>
      </c>
      <c r="D18" s="39" t="s">
        <v>209</v>
      </c>
      <c r="E18" s="39" t="s">
        <v>58</v>
      </c>
      <c r="F18" s="40" t="s">
        <v>210</v>
      </c>
      <c r="G18" s="40" t="s">
        <v>211</v>
      </c>
      <c r="H18" s="40" t="s">
        <v>212</v>
      </c>
      <c r="I18" s="40" t="s">
        <v>213</v>
      </c>
      <c r="J18" s="39" t="s">
        <v>22</v>
      </c>
      <c r="K18" s="39"/>
      <c r="L18" s="39"/>
      <c r="M18" s="41"/>
      <c r="N18" s="42"/>
    </row>
    <row r="19" ht="63.75" customHeight="1">
      <c r="A19" s="38" t="s">
        <v>214</v>
      </c>
      <c r="B19" s="39" t="s">
        <v>34</v>
      </c>
      <c r="C19" s="39" t="s">
        <v>106</v>
      </c>
      <c r="D19" s="39" t="s">
        <v>209</v>
      </c>
      <c r="E19" s="39" t="s">
        <v>58</v>
      </c>
      <c r="F19" s="40" t="s">
        <v>215</v>
      </c>
      <c r="G19" s="40" t="s">
        <v>216</v>
      </c>
      <c r="H19" s="40" t="s">
        <v>217</v>
      </c>
      <c r="I19" s="40" t="s">
        <v>218</v>
      </c>
      <c r="J19" s="39" t="s">
        <v>22</v>
      </c>
      <c r="K19" s="39"/>
      <c r="L19" s="39"/>
      <c r="M19" s="41"/>
      <c r="N19" s="42"/>
    </row>
    <row r="20" ht="63.75" customHeight="1">
      <c r="A20" s="38" t="s">
        <v>219</v>
      </c>
      <c r="B20" s="39" t="s">
        <v>34</v>
      </c>
      <c r="C20" s="39" t="s">
        <v>220</v>
      </c>
      <c r="D20" s="39" t="s">
        <v>139</v>
      </c>
      <c r="E20" s="39" t="s">
        <v>58</v>
      </c>
      <c r="F20" s="40" t="s">
        <v>221</v>
      </c>
      <c r="G20" s="40" t="s">
        <v>222</v>
      </c>
      <c r="H20" s="40" t="s">
        <v>223</v>
      </c>
      <c r="I20" s="40" t="s">
        <v>224</v>
      </c>
      <c r="J20" s="39" t="s">
        <v>22</v>
      </c>
      <c r="K20" s="39"/>
      <c r="L20" s="39"/>
      <c r="M20" s="41"/>
      <c r="N20" s="42"/>
    </row>
    <row r="21" ht="63.75" customHeight="1">
      <c r="A21" s="38" t="s">
        <v>225</v>
      </c>
      <c r="B21" s="39" t="s">
        <v>36</v>
      </c>
      <c r="C21" s="39" t="s">
        <v>226</v>
      </c>
      <c r="D21" s="39" t="s">
        <v>132</v>
      </c>
      <c r="E21" s="39" t="s">
        <v>117</v>
      </c>
      <c r="F21" s="40" t="s">
        <v>114</v>
      </c>
      <c r="G21" s="40" t="s">
        <v>227</v>
      </c>
      <c r="H21" s="40" t="s">
        <v>228</v>
      </c>
      <c r="I21" s="40" t="s">
        <v>229</v>
      </c>
      <c r="J21" s="39" t="s">
        <v>22</v>
      </c>
      <c r="K21" s="39"/>
      <c r="L21" s="39"/>
      <c r="M21" s="41"/>
      <c r="N21" s="42" t="s">
        <v>230</v>
      </c>
    </row>
    <row r="22" ht="63.75" customHeight="1">
      <c r="A22" s="38" t="s">
        <v>231</v>
      </c>
      <c r="B22" s="39" t="s">
        <v>232</v>
      </c>
      <c r="C22" s="39" t="s">
        <v>233</v>
      </c>
      <c r="D22" s="39" t="s">
        <v>234</v>
      </c>
      <c r="E22" s="39" t="s">
        <v>58</v>
      </c>
      <c r="F22" s="40" t="s">
        <v>235</v>
      </c>
      <c r="G22" s="40" t="s">
        <v>236</v>
      </c>
      <c r="H22" s="40" t="s">
        <v>237</v>
      </c>
      <c r="I22" s="40" t="s">
        <v>238</v>
      </c>
      <c r="J22" s="39" t="s">
        <v>22</v>
      </c>
      <c r="K22" s="39"/>
      <c r="L22" s="39"/>
      <c r="M22" s="41"/>
      <c r="N22" s="42"/>
    </row>
    <row r="23" ht="63.75" customHeight="1">
      <c r="A23" s="43" t="s">
        <v>239</v>
      </c>
      <c r="B23" s="44" t="s">
        <v>232</v>
      </c>
      <c r="C23" s="44" t="s">
        <v>240</v>
      </c>
      <c r="D23" s="44" t="s">
        <v>234</v>
      </c>
      <c r="E23" s="44" t="s">
        <v>58</v>
      </c>
      <c r="F23" s="45" t="s">
        <v>235</v>
      </c>
      <c r="G23" s="45" t="s">
        <v>241</v>
      </c>
      <c r="H23" s="45" t="s">
        <v>242</v>
      </c>
      <c r="I23" s="45" t="s">
        <v>243</v>
      </c>
      <c r="J23" s="44" t="s">
        <v>22</v>
      </c>
      <c r="K23" s="44"/>
      <c r="L23" s="44"/>
      <c r="M23" s="46"/>
      <c r="N23" s="47"/>
    </row>
    <row r="24" ht="15.75" customHeight="1">
      <c r="A24" s="48"/>
      <c r="B24" s="48"/>
      <c r="C24" s="48"/>
      <c r="D24" s="48"/>
      <c r="E24" s="48"/>
      <c r="J24" s="48"/>
      <c r="K24" s="48"/>
      <c r="L24" s="48"/>
      <c r="M24" s="49"/>
    </row>
    <row r="25" ht="15.75" customHeight="1">
      <c r="A25" s="48"/>
      <c r="B25" s="48"/>
      <c r="C25" s="48"/>
      <c r="D25" s="48"/>
      <c r="E25" s="48"/>
      <c r="J25" s="48"/>
      <c r="K25" s="48"/>
      <c r="L25" s="48"/>
      <c r="M25" s="49"/>
    </row>
    <row r="26" ht="15.75" customHeight="1">
      <c r="A26" s="48"/>
      <c r="B26" s="48"/>
      <c r="C26" s="48"/>
      <c r="D26" s="48"/>
      <c r="E26" s="48"/>
      <c r="J26" s="48"/>
      <c r="K26" s="48"/>
      <c r="L26" s="48"/>
      <c r="M26" s="49"/>
    </row>
    <row r="27" ht="15.75" customHeight="1">
      <c r="A27" s="48"/>
      <c r="B27" s="48"/>
      <c r="C27" s="48"/>
      <c r="D27" s="48"/>
      <c r="E27" s="48"/>
      <c r="J27" s="48"/>
      <c r="K27" s="48"/>
      <c r="L27" s="48"/>
      <c r="M27" s="49"/>
    </row>
    <row r="28" ht="15.75" customHeight="1">
      <c r="A28" s="48"/>
      <c r="B28" s="48"/>
      <c r="C28" s="48"/>
      <c r="D28" s="48"/>
      <c r="E28" s="48"/>
      <c r="J28" s="48"/>
      <c r="K28" s="48"/>
      <c r="L28" s="48"/>
      <c r="M28" s="49"/>
    </row>
    <row r="29" ht="15.75" customHeight="1">
      <c r="A29" s="48"/>
      <c r="B29" s="48"/>
      <c r="C29" s="48"/>
      <c r="D29" s="48"/>
      <c r="E29" s="48"/>
      <c r="J29" s="48"/>
      <c r="K29" s="48"/>
      <c r="L29" s="48"/>
      <c r="M29" s="49"/>
    </row>
    <row r="30" ht="15.75" customHeight="1">
      <c r="A30" s="48"/>
      <c r="B30" s="48"/>
      <c r="C30" s="48"/>
      <c r="D30" s="48"/>
      <c r="E30" s="48"/>
      <c r="J30" s="48"/>
      <c r="K30" s="48"/>
      <c r="L30" s="48"/>
      <c r="M30" s="49"/>
    </row>
    <row r="31" ht="15.75" customHeight="1">
      <c r="A31" s="48"/>
      <c r="B31" s="48"/>
      <c r="C31" s="48"/>
      <c r="D31" s="48"/>
      <c r="E31" s="48"/>
      <c r="J31" s="48"/>
      <c r="K31" s="48"/>
      <c r="L31" s="48"/>
      <c r="M31" s="49"/>
    </row>
    <row r="32" ht="15.75" customHeight="1">
      <c r="A32" s="48"/>
      <c r="B32" s="48"/>
      <c r="C32" s="48"/>
      <c r="D32" s="48"/>
      <c r="E32" s="48"/>
      <c r="J32" s="48"/>
      <c r="K32" s="48"/>
      <c r="L32" s="48"/>
      <c r="M32" s="49"/>
    </row>
    <row r="33" ht="15.75" customHeight="1">
      <c r="A33" s="48"/>
      <c r="B33" s="48"/>
      <c r="C33" s="48"/>
      <c r="D33" s="48"/>
      <c r="E33" s="48"/>
      <c r="J33" s="48"/>
      <c r="K33" s="48"/>
      <c r="L33" s="48"/>
      <c r="M33" s="49"/>
    </row>
    <row r="34" ht="15.75" customHeight="1">
      <c r="A34" s="48"/>
      <c r="B34" s="48"/>
      <c r="C34" s="48"/>
      <c r="D34" s="48"/>
      <c r="E34" s="48"/>
      <c r="J34" s="48"/>
      <c r="K34" s="48"/>
      <c r="L34" s="48"/>
      <c r="M34" s="49"/>
    </row>
    <row r="35" ht="15.75" customHeight="1">
      <c r="A35" s="48"/>
      <c r="B35" s="48"/>
      <c r="C35" s="48"/>
      <c r="D35" s="48"/>
      <c r="E35" s="48"/>
      <c r="J35" s="48"/>
      <c r="K35" s="48"/>
      <c r="L35" s="48"/>
      <c r="M35" s="49"/>
    </row>
    <row r="36" ht="15.75" customHeight="1">
      <c r="A36" s="48"/>
      <c r="B36" s="48"/>
      <c r="C36" s="48"/>
      <c r="D36" s="48"/>
      <c r="E36" s="48"/>
      <c r="J36" s="48"/>
      <c r="K36" s="48"/>
      <c r="L36" s="48"/>
      <c r="M36" s="49"/>
    </row>
    <row r="37" ht="15.75" customHeight="1">
      <c r="A37" s="48"/>
      <c r="B37" s="48"/>
      <c r="C37" s="48"/>
      <c r="D37" s="48"/>
      <c r="E37" s="48"/>
      <c r="J37" s="48"/>
      <c r="K37" s="48"/>
      <c r="L37" s="48"/>
      <c r="M37" s="49"/>
    </row>
    <row r="38" ht="15.75" customHeight="1">
      <c r="A38" s="48"/>
      <c r="B38" s="48"/>
      <c r="C38" s="48"/>
      <c r="D38" s="48"/>
      <c r="E38" s="48"/>
      <c r="J38" s="48"/>
      <c r="K38" s="48"/>
      <c r="L38" s="48"/>
      <c r="M38" s="49"/>
    </row>
    <row r="39" ht="15.75" customHeight="1">
      <c r="A39" s="48"/>
      <c r="B39" s="48"/>
      <c r="C39" s="48"/>
      <c r="D39" s="48"/>
      <c r="E39" s="48"/>
      <c r="J39" s="48"/>
      <c r="K39" s="48"/>
      <c r="L39" s="48"/>
      <c r="M39" s="49"/>
    </row>
    <row r="40" ht="15.75" customHeight="1">
      <c r="A40" s="48"/>
      <c r="B40" s="48"/>
      <c r="C40" s="48"/>
      <c r="D40" s="48"/>
      <c r="E40" s="48"/>
      <c r="J40" s="48"/>
      <c r="K40" s="48"/>
      <c r="L40" s="48"/>
      <c r="M40" s="49"/>
    </row>
    <row r="41" ht="15.75" customHeight="1">
      <c r="A41" s="48"/>
      <c r="B41" s="48"/>
      <c r="C41" s="48"/>
      <c r="D41" s="48"/>
      <c r="E41" s="48"/>
      <c r="J41" s="48"/>
      <c r="K41" s="48"/>
      <c r="L41" s="48"/>
      <c r="M41" s="49"/>
    </row>
    <row r="42" ht="15.75" customHeight="1">
      <c r="A42" s="48"/>
      <c r="B42" s="48"/>
      <c r="C42" s="48"/>
      <c r="D42" s="48"/>
      <c r="E42" s="48"/>
      <c r="J42" s="48"/>
      <c r="K42" s="48"/>
      <c r="L42" s="48"/>
      <c r="M42" s="49"/>
    </row>
    <row r="43" ht="15.75" customHeight="1">
      <c r="A43" s="48"/>
      <c r="B43" s="48"/>
      <c r="C43" s="48"/>
      <c r="D43" s="48"/>
      <c r="E43" s="48"/>
      <c r="J43" s="48"/>
      <c r="K43" s="48"/>
      <c r="L43" s="48"/>
      <c r="M43" s="49"/>
    </row>
    <row r="44" ht="15.75" customHeight="1">
      <c r="A44" s="48"/>
      <c r="B44" s="48"/>
      <c r="C44" s="48"/>
      <c r="D44" s="48"/>
      <c r="E44" s="48"/>
      <c r="J44" s="48"/>
      <c r="K44" s="48"/>
      <c r="L44" s="48"/>
      <c r="M44" s="49"/>
    </row>
    <row r="45" ht="15.75" customHeight="1">
      <c r="A45" s="48"/>
      <c r="B45" s="48"/>
      <c r="C45" s="48"/>
      <c r="D45" s="48"/>
      <c r="E45" s="48"/>
      <c r="J45" s="48"/>
      <c r="K45" s="48"/>
      <c r="L45" s="48"/>
      <c r="M45" s="49"/>
    </row>
    <row r="46" ht="15.75" customHeight="1">
      <c r="A46" s="48"/>
      <c r="B46" s="48"/>
      <c r="C46" s="48"/>
      <c r="D46" s="48"/>
      <c r="E46" s="48"/>
      <c r="J46" s="48"/>
      <c r="K46" s="48"/>
      <c r="L46" s="48"/>
      <c r="M46" s="49"/>
    </row>
    <row r="47" ht="15.75" customHeight="1">
      <c r="A47" s="48"/>
      <c r="B47" s="48"/>
      <c r="C47" s="48"/>
      <c r="D47" s="48"/>
      <c r="E47" s="48"/>
      <c r="J47" s="48"/>
      <c r="K47" s="48"/>
      <c r="L47" s="48"/>
      <c r="M47" s="49"/>
    </row>
    <row r="48" ht="15.75" customHeight="1">
      <c r="A48" s="48"/>
      <c r="B48" s="48"/>
      <c r="C48" s="48"/>
      <c r="D48" s="48"/>
      <c r="E48" s="48"/>
      <c r="J48" s="48"/>
      <c r="K48" s="48"/>
      <c r="L48" s="48"/>
      <c r="M48" s="49"/>
    </row>
    <row r="49" ht="15.75" customHeight="1">
      <c r="A49" s="48"/>
      <c r="B49" s="48"/>
      <c r="C49" s="48"/>
      <c r="D49" s="48"/>
      <c r="E49" s="48"/>
      <c r="J49" s="48"/>
      <c r="K49" s="48"/>
      <c r="L49" s="48"/>
      <c r="M49" s="49"/>
    </row>
    <row r="50" ht="15.75" customHeight="1">
      <c r="A50" s="48"/>
      <c r="B50" s="48"/>
      <c r="C50" s="48"/>
      <c r="D50" s="48"/>
      <c r="E50" s="48"/>
      <c r="J50" s="48"/>
      <c r="K50" s="48"/>
      <c r="L50" s="48"/>
      <c r="M50" s="49"/>
    </row>
    <row r="51" ht="15.75" customHeight="1">
      <c r="A51" s="48"/>
      <c r="B51" s="48"/>
      <c r="C51" s="48"/>
      <c r="D51" s="48"/>
      <c r="E51" s="48"/>
      <c r="J51" s="48"/>
      <c r="K51" s="48"/>
      <c r="L51" s="48"/>
      <c r="M51" s="49"/>
    </row>
    <row r="52" ht="15.75" customHeight="1">
      <c r="A52" s="48"/>
      <c r="B52" s="48"/>
      <c r="C52" s="48"/>
      <c r="D52" s="48"/>
      <c r="E52" s="48"/>
      <c r="J52" s="48"/>
      <c r="K52" s="48"/>
      <c r="L52" s="48"/>
      <c r="M52" s="49"/>
    </row>
    <row r="53" ht="15.75" customHeight="1">
      <c r="A53" s="48"/>
      <c r="B53" s="48"/>
      <c r="C53" s="48"/>
      <c r="D53" s="48"/>
      <c r="E53" s="48"/>
      <c r="J53" s="48"/>
      <c r="K53" s="48"/>
      <c r="L53" s="48"/>
      <c r="M53" s="49"/>
    </row>
    <row r="54" ht="15.75" customHeight="1">
      <c r="A54" s="48"/>
      <c r="B54" s="48"/>
      <c r="C54" s="48"/>
      <c r="D54" s="48"/>
      <c r="E54" s="48"/>
      <c r="J54" s="48"/>
      <c r="K54" s="48"/>
      <c r="L54" s="48"/>
      <c r="M54" s="49"/>
    </row>
    <row r="55" ht="15.75" customHeight="1">
      <c r="A55" s="48"/>
      <c r="B55" s="48"/>
      <c r="C55" s="48"/>
      <c r="D55" s="48"/>
      <c r="E55" s="48"/>
      <c r="J55" s="48"/>
      <c r="K55" s="48"/>
      <c r="L55" s="48"/>
      <c r="M55" s="49"/>
    </row>
    <row r="56" ht="15.75" customHeight="1">
      <c r="A56" s="48"/>
      <c r="B56" s="48"/>
      <c r="C56" s="48"/>
      <c r="D56" s="48"/>
      <c r="E56" s="48"/>
      <c r="J56" s="48"/>
      <c r="K56" s="48"/>
      <c r="L56" s="48"/>
      <c r="M56" s="49"/>
    </row>
    <row r="57" ht="15.75" customHeight="1">
      <c r="A57" s="48"/>
      <c r="B57" s="48"/>
      <c r="C57" s="48"/>
      <c r="D57" s="48"/>
      <c r="E57" s="48"/>
      <c r="J57" s="48"/>
      <c r="K57" s="48"/>
      <c r="L57" s="48"/>
      <c r="M57" s="49"/>
    </row>
    <row r="58" ht="15.75" customHeight="1">
      <c r="A58" s="48"/>
      <c r="B58" s="48"/>
      <c r="C58" s="48"/>
      <c r="D58" s="48"/>
      <c r="E58" s="48"/>
      <c r="J58" s="48"/>
      <c r="K58" s="48"/>
      <c r="L58" s="48"/>
      <c r="M58" s="49"/>
    </row>
    <row r="59" ht="15.75" customHeight="1">
      <c r="A59" s="48"/>
      <c r="B59" s="48"/>
      <c r="C59" s="48"/>
      <c r="D59" s="48"/>
      <c r="E59" s="48"/>
      <c r="J59" s="48"/>
      <c r="K59" s="48"/>
      <c r="L59" s="48"/>
      <c r="M59" s="49"/>
    </row>
    <row r="60" ht="15.75" customHeight="1">
      <c r="A60" s="48"/>
      <c r="B60" s="48"/>
      <c r="C60" s="48"/>
      <c r="D60" s="48"/>
      <c r="E60" s="48"/>
      <c r="J60" s="48"/>
      <c r="K60" s="48"/>
      <c r="L60" s="48"/>
      <c r="M60" s="49"/>
    </row>
    <row r="61" ht="15.75" customHeight="1">
      <c r="A61" s="48"/>
      <c r="B61" s="48"/>
      <c r="C61" s="48"/>
      <c r="D61" s="48"/>
      <c r="E61" s="48"/>
      <c r="J61" s="48"/>
      <c r="K61" s="48"/>
      <c r="L61" s="48"/>
      <c r="M61" s="49"/>
    </row>
    <row r="62" ht="15.75" customHeight="1">
      <c r="A62" s="48"/>
      <c r="B62" s="48"/>
      <c r="C62" s="48"/>
      <c r="D62" s="48"/>
      <c r="E62" s="48"/>
      <c r="J62" s="48"/>
      <c r="K62" s="48"/>
      <c r="L62" s="48"/>
      <c r="M62" s="49"/>
    </row>
    <row r="63" ht="15.75" customHeight="1">
      <c r="A63" s="48"/>
      <c r="B63" s="48"/>
      <c r="C63" s="48"/>
      <c r="D63" s="48"/>
      <c r="E63" s="48"/>
      <c r="J63" s="48"/>
      <c r="K63" s="48"/>
      <c r="L63" s="48"/>
      <c r="M63" s="49"/>
    </row>
    <row r="64" ht="15.75" customHeight="1">
      <c r="A64" s="48"/>
      <c r="B64" s="48"/>
      <c r="C64" s="48"/>
      <c r="D64" s="48"/>
      <c r="E64" s="48"/>
      <c r="J64" s="48"/>
      <c r="K64" s="48"/>
      <c r="L64" s="48"/>
      <c r="M64" s="49"/>
    </row>
    <row r="65" ht="15.75" customHeight="1">
      <c r="A65" s="48"/>
      <c r="B65" s="48"/>
      <c r="C65" s="48"/>
      <c r="D65" s="48"/>
      <c r="E65" s="48"/>
      <c r="J65" s="48"/>
      <c r="K65" s="48"/>
      <c r="L65" s="48"/>
      <c r="M65" s="49"/>
    </row>
    <row r="66" ht="15.75" customHeight="1">
      <c r="A66" s="48"/>
      <c r="B66" s="48"/>
      <c r="C66" s="48"/>
      <c r="D66" s="48"/>
      <c r="E66" s="48"/>
      <c r="J66" s="48"/>
      <c r="K66" s="48"/>
      <c r="L66" s="48"/>
      <c r="M66" s="49"/>
    </row>
    <row r="67" ht="15.75" customHeight="1">
      <c r="A67" s="48"/>
      <c r="B67" s="48"/>
      <c r="C67" s="48"/>
      <c r="D67" s="48"/>
      <c r="E67" s="48"/>
      <c r="J67" s="48"/>
      <c r="K67" s="48"/>
      <c r="L67" s="48"/>
      <c r="M67" s="49"/>
    </row>
    <row r="68" ht="15.75" customHeight="1">
      <c r="A68" s="48"/>
      <c r="B68" s="48"/>
      <c r="C68" s="48"/>
      <c r="D68" s="48"/>
      <c r="E68" s="48"/>
      <c r="J68" s="48"/>
      <c r="K68" s="48"/>
      <c r="L68" s="48"/>
      <c r="M68" s="49"/>
    </row>
    <row r="69" ht="15.75" customHeight="1">
      <c r="A69" s="48"/>
      <c r="B69" s="48"/>
      <c r="C69" s="48"/>
      <c r="D69" s="48"/>
      <c r="E69" s="48"/>
      <c r="J69" s="48"/>
      <c r="K69" s="48"/>
      <c r="L69" s="48"/>
      <c r="M69" s="49"/>
    </row>
    <row r="70" ht="15.75" customHeight="1">
      <c r="A70" s="48"/>
      <c r="B70" s="48"/>
      <c r="C70" s="48"/>
      <c r="D70" s="48"/>
      <c r="E70" s="48"/>
      <c r="J70" s="48"/>
      <c r="K70" s="48"/>
      <c r="L70" s="48"/>
      <c r="M70" s="49"/>
    </row>
    <row r="71" ht="15.75" customHeight="1">
      <c r="A71" s="48"/>
      <c r="B71" s="48"/>
      <c r="C71" s="48"/>
      <c r="D71" s="48"/>
      <c r="E71" s="48"/>
      <c r="J71" s="48"/>
      <c r="K71" s="48"/>
      <c r="L71" s="48"/>
      <c r="M71" s="49"/>
    </row>
    <row r="72" ht="15.75" customHeight="1">
      <c r="A72" s="48"/>
      <c r="B72" s="48"/>
      <c r="C72" s="48"/>
      <c r="D72" s="48"/>
      <c r="E72" s="48"/>
      <c r="J72" s="48"/>
      <c r="K72" s="48"/>
      <c r="L72" s="48"/>
      <c r="M72" s="49"/>
    </row>
    <row r="73" ht="15.75" customHeight="1">
      <c r="A73" s="48"/>
      <c r="B73" s="48"/>
      <c r="C73" s="48"/>
      <c r="D73" s="48"/>
      <c r="E73" s="48"/>
      <c r="J73" s="48"/>
      <c r="K73" s="48"/>
      <c r="L73" s="48"/>
      <c r="M73" s="49"/>
    </row>
    <row r="74" ht="15.75" customHeight="1">
      <c r="A74" s="48"/>
      <c r="B74" s="48"/>
      <c r="C74" s="48"/>
      <c r="D74" s="48"/>
      <c r="E74" s="48"/>
      <c r="J74" s="48"/>
      <c r="K74" s="48"/>
      <c r="L74" s="48"/>
      <c r="M74" s="49"/>
    </row>
    <row r="75" ht="15.75" customHeight="1">
      <c r="A75" s="48"/>
      <c r="B75" s="48"/>
      <c r="C75" s="48"/>
      <c r="D75" s="48"/>
      <c r="E75" s="48"/>
      <c r="J75" s="48"/>
      <c r="K75" s="48"/>
      <c r="L75" s="48"/>
      <c r="M75" s="49"/>
    </row>
    <row r="76" ht="15.75" customHeight="1">
      <c r="A76" s="48"/>
      <c r="B76" s="48"/>
      <c r="C76" s="48"/>
      <c r="D76" s="48"/>
      <c r="E76" s="48"/>
      <c r="J76" s="48"/>
      <c r="K76" s="48"/>
      <c r="L76" s="48"/>
      <c r="M76" s="49"/>
    </row>
    <row r="77" ht="15.75" customHeight="1">
      <c r="A77" s="48"/>
      <c r="B77" s="48"/>
      <c r="C77" s="48"/>
      <c r="D77" s="48"/>
      <c r="E77" s="48"/>
      <c r="J77" s="48"/>
      <c r="K77" s="48"/>
      <c r="L77" s="48"/>
      <c r="M77" s="49"/>
    </row>
    <row r="78" ht="15.75" customHeight="1">
      <c r="A78" s="48"/>
      <c r="B78" s="48"/>
      <c r="C78" s="48"/>
      <c r="D78" s="48"/>
      <c r="E78" s="48"/>
      <c r="J78" s="48"/>
      <c r="K78" s="48"/>
      <c r="L78" s="48"/>
      <c r="M78" s="49"/>
    </row>
    <row r="79" ht="15.75" customHeight="1">
      <c r="A79" s="48"/>
      <c r="B79" s="48"/>
      <c r="C79" s="48"/>
      <c r="D79" s="48"/>
      <c r="E79" s="48"/>
      <c r="J79" s="48"/>
      <c r="K79" s="48"/>
      <c r="L79" s="48"/>
      <c r="M79" s="49"/>
    </row>
    <row r="80" ht="15.75" customHeight="1">
      <c r="A80" s="48"/>
      <c r="B80" s="48"/>
      <c r="C80" s="48"/>
      <c r="D80" s="48"/>
      <c r="E80" s="48"/>
      <c r="J80" s="48"/>
      <c r="K80" s="48"/>
      <c r="L80" s="48"/>
      <c r="M80" s="49"/>
    </row>
    <row r="81" ht="15.75" customHeight="1">
      <c r="A81" s="48"/>
      <c r="B81" s="48"/>
      <c r="C81" s="48"/>
      <c r="D81" s="48"/>
      <c r="E81" s="48"/>
      <c r="J81" s="48"/>
      <c r="K81" s="48"/>
      <c r="L81" s="48"/>
      <c r="M81" s="49"/>
    </row>
    <row r="82" ht="15.75" customHeight="1">
      <c r="A82" s="48"/>
      <c r="B82" s="48"/>
      <c r="C82" s="48"/>
      <c r="D82" s="48"/>
      <c r="E82" s="48"/>
      <c r="J82" s="48"/>
      <c r="K82" s="48"/>
      <c r="L82" s="48"/>
      <c r="M82" s="49"/>
    </row>
    <row r="83" ht="15.75" customHeight="1">
      <c r="A83" s="48"/>
      <c r="B83" s="48"/>
      <c r="C83" s="48"/>
      <c r="D83" s="48"/>
      <c r="E83" s="48"/>
      <c r="J83" s="48"/>
      <c r="K83" s="48"/>
      <c r="L83" s="48"/>
      <c r="M83" s="49"/>
    </row>
    <row r="84" ht="15.75" customHeight="1">
      <c r="A84" s="48"/>
      <c r="B84" s="48"/>
      <c r="C84" s="48"/>
      <c r="D84" s="48"/>
      <c r="E84" s="48"/>
      <c r="J84" s="48"/>
      <c r="K84" s="48"/>
      <c r="L84" s="48"/>
      <c r="M84" s="49"/>
    </row>
    <row r="85" ht="15.75" customHeight="1">
      <c r="A85" s="48"/>
      <c r="B85" s="48"/>
      <c r="C85" s="48"/>
      <c r="D85" s="48"/>
      <c r="E85" s="48"/>
      <c r="J85" s="48"/>
      <c r="K85" s="48"/>
      <c r="L85" s="48"/>
      <c r="M85" s="49"/>
    </row>
    <row r="86" ht="15.75" customHeight="1">
      <c r="A86" s="48"/>
      <c r="B86" s="48"/>
      <c r="C86" s="48"/>
      <c r="D86" s="48"/>
      <c r="E86" s="48"/>
      <c r="J86" s="48"/>
      <c r="K86" s="48"/>
      <c r="L86" s="48"/>
      <c r="M86" s="49"/>
    </row>
    <row r="87" ht="15.75" customHeight="1">
      <c r="A87" s="48"/>
      <c r="B87" s="48"/>
      <c r="C87" s="48"/>
      <c r="D87" s="48"/>
      <c r="E87" s="48"/>
      <c r="J87" s="48"/>
      <c r="K87" s="48"/>
      <c r="L87" s="48"/>
      <c r="M87" s="49"/>
    </row>
    <row r="88" ht="15.75" customHeight="1">
      <c r="A88" s="48"/>
      <c r="B88" s="48"/>
      <c r="C88" s="48"/>
      <c r="D88" s="48"/>
      <c r="E88" s="48"/>
      <c r="J88" s="48"/>
      <c r="K88" s="48"/>
      <c r="L88" s="48"/>
      <c r="M88" s="49"/>
    </row>
    <row r="89" ht="15.75" customHeight="1">
      <c r="A89" s="48"/>
      <c r="B89" s="48"/>
      <c r="C89" s="48"/>
      <c r="D89" s="48"/>
      <c r="E89" s="48"/>
      <c r="J89" s="48"/>
      <c r="K89" s="48"/>
      <c r="L89" s="48"/>
      <c r="M89" s="49"/>
    </row>
    <row r="90" ht="15.75" customHeight="1">
      <c r="A90" s="48"/>
      <c r="B90" s="48"/>
      <c r="C90" s="48"/>
      <c r="D90" s="48"/>
      <c r="E90" s="48"/>
      <c r="J90" s="48"/>
      <c r="K90" s="48"/>
      <c r="L90" s="48"/>
      <c r="M90" s="49"/>
    </row>
    <row r="91" ht="15.75" customHeight="1">
      <c r="A91" s="48"/>
      <c r="B91" s="48"/>
      <c r="C91" s="48"/>
      <c r="D91" s="48"/>
      <c r="E91" s="48"/>
      <c r="J91" s="48"/>
      <c r="K91" s="48"/>
      <c r="L91" s="48"/>
      <c r="M91" s="49"/>
    </row>
    <row r="92" ht="15.75" customHeight="1">
      <c r="A92" s="48"/>
      <c r="B92" s="48"/>
      <c r="C92" s="48"/>
      <c r="D92" s="48"/>
      <c r="E92" s="48"/>
      <c r="J92" s="48"/>
      <c r="K92" s="48"/>
      <c r="L92" s="48"/>
      <c r="M92" s="49"/>
    </row>
    <row r="93" ht="15.75" customHeight="1">
      <c r="A93" s="48"/>
      <c r="B93" s="48"/>
      <c r="C93" s="48"/>
      <c r="D93" s="48"/>
      <c r="E93" s="48"/>
      <c r="J93" s="48"/>
      <c r="K93" s="48"/>
      <c r="L93" s="48"/>
      <c r="M93" s="49"/>
    </row>
    <row r="94" ht="15.75" customHeight="1">
      <c r="A94" s="48"/>
      <c r="B94" s="48"/>
      <c r="C94" s="48"/>
      <c r="D94" s="48"/>
      <c r="E94" s="48"/>
      <c r="J94" s="48"/>
      <c r="K94" s="48"/>
      <c r="L94" s="48"/>
      <c r="M94" s="49"/>
    </row>
    <row r="95" ht="15.75" customHeight="1">
      <c r="A95" s="48"/>
      <c r="B95" s="48"/>
      <c r="C95" s="48"/>
      <c r="D95" s="48"/>
      <c r="E95" s="48"/>
      <c r="J95" s="48"/>
      <c r="K95" s="48"/>
      <c r="L95" s="48"/>
      <c r="M95" s="49"/>
    </row>
    <row r="96" ht="15.75" customHeight="1">
      <c r="A96" s="48"/>
      <c r="B96" s="48"/>
      <c r="C96" s="48"/>
      <c r="D96" s="48"/>
      <c r="E96" s="48"/>
      <c r="J96" s="48"/>
      <c r="K96" s="48"/>
      <c r="L96" s="48"/>
      <c r="M96" s="49"/>
    </row>
    <row r="97" ht="15.75" customHeight="1">
      <c r="A97" s="48"/>
      <c r="B97" s="48"/>
      <c r="C97" s="48"/>
      <c r="D97" s="48"/>
      <c r="E97" s="48"/>
      <c r="J97" s="48"/>
      <c r="K97" s="48"/>
      <c r="L97" s="48"/>
      <c r="M97" s="49"/>
    </row>
    <row r="98" ht="15.75" customHeight="1">
      <c r="A98" s="48"/>
      <c r="B98" s="48"/>
      <c r="C98" s="48"/>
      <c r="D98" s="48"/>
      <c r="E98" s="48"/>
      <c r="J98" s="48"/>
      <c r="K98" s="48"/>
      <c r="L98" s="48"/>
      <c r="M98" s="49"/>
    </row>
    <row r="99" ht="15.75" customHeight="1">
      <c r="A99" s="48"/>
      <c r="B99" s="48"/>
      <c r="C99" s="48"/>
      <c r="D99" s="48"/>
      <c r="E99" s="48"/>
      <c r="J99" s="48"/>
      <c r="K99" s="48"/>
      <c r="L99" s="48"/>
      <c r="M99" s="49"/>
    </row>
    <row r="100" ht="15.75" customHeight="1">
      <c r="A100" s="48"/>
      <c r="B100" s="48"/>
      <c r="C100" s="48"/>
      <c r="D100" s="48"/>
      <c r="E100" s="48"/>
      <c r="J100" s="48"/>
      <c r="K100" s="48"/>
      <c r="L100" s="48"/>
      <c r="M100" s="49"/>
    </row>
    <row r="101" ht="15.75" customHeight="1">
      <c r="A101" s="48"/>
      <c r="B101" s="48"/>
      <c r="C101" s="48"/>
      <c r="D101" s="48"/>
      <c r="E101" s="48"/>
      <c r="J101" s="48"/>
      <c r="K101" s="48"/>
      <c r="L101" s="48"/>
      <c r="M101" s="49"/>
    </row>
    <row r="102" ht="15.75" customHeight="1">
      <c r="A102" s="48"/>
      <c r="B102" s="48"/>
      <c r="C102" s="48"/>
      <c r="D102" s="48"/>
      <c r="E102" s="48"/>
      <c r="J102" s="48"/>
      <c r="K102" s="48"/>
      <c r="L102" s="48"/>
      <c r="M102" s="49"/>
    </row>
    <row r="103" ht="15.75" customHeight="1">
      <c r="A103" s="48"/>
      <c r="B103" s="48"/>
      <c r="C103" s="48"/>
      <c r="D103" s="48"/>
      <c r="E103" s="48"/>
      <c r="J103" s="48"/>
      <c r="K103" s="48"/>
      <c r="L103" s="48"/>
      <c r="M103" s="49"/>
    </row>
    <row r="104" ht="15.75" customHeight="1">
      <c r="A104" s="48"/>
      <c r="B104" s="48"/>
      <c r="C104" s="48"/>
      <c r="D104" s="48"/>
      <c r="E104" s="48"/>
      <c r="J104" s="48"/>
      <c r="K104" s="48"/>
      <c r="L104" s="48"/>
      <c r="M104" s="49"/>
    </row>
    <row r="105" ht="15.75" customHeight="1">
      <c r="A105" s="48"/>
      <c r="B105" s="48"/>
      <c r="C105" s="48"/>
      <c r="D105" s="48"/>
      <c r="E105" s="48"/>
      <c r="J105" s="48"/>
      <c r="K105" s="48"/>
      <c r="L105" s="48"/>
      <c r="M105" s="49"/>
    </row>
    <row r="106" ht="15.75" customHeight="1">
      <c r="A106" s="48"/>
      <c r="B106" s="48"/>
      <c r="C106" s="48"/>
      <c r="D106" s="48"/>
      <c r="E106" s="48"/>
      <c r="J106" s="48"/>
      <c r="K106" s="48"/>
      <c r="L106" s="48"/>
      <c r="M106" s="49"/>
    </row>
    <row r="107" ht="15.75" customHeight="1">
      <c r="A107" s="48"/>
      <c r="B107" s="48"/>
      <c r="C107" s="48"/>
      <c r="D107" s="48"/>
      <c r="E107" s="48"/>
      <c r="J107" s="48"/>
      <c r="K107" s="48"/>
      <c r="L107" s="48"/>
      <c r="M107" s="49"/>
    </row>
    <row r="108" ht="15.75" customHeight="1">
      <c r="A108" s="48"/>
      <c r="B108" s="48"/>
      <c r="C108" s="48"/>
      <c r="D108" s="48"/>
      <c r="E108" s="48"/>
      <c r="J108" s="48"/>
      <c r="K108" s="48"/>
      <c r="L108" s="48"/>
      <c r="M108" s="49"/>
    </row>
    <row r="109" ht="15.75" customHeight="1">
      <c r="A109" s="48"/>
      <c r="B109" s="48"/>
      <c r="C109" s="48"/>
      <c r="D109" s="48"/>
      <c r="E109" s="48"/>
      <c r="J109" s="48"/>
      <c r="K109" s="48"/>
      <c r="L109" s="48"/>
      <c r="M109" s="49"/>
    </row>
    <row r="110" ht="15.75" customHeight="1">
      <c r="A110" s="48"/>
      <c r="B110" s="48"/>
      <c r="C110" s="48"/>
      <c r="D110" s="48"/>
      <c r="E110" s="48"/>
      <c r="J110" s="48"/>
      <c r="K110" s="48"/>
      <c r="L110" s="48"/>
      <c r="M110" s="49"/>
    </row>
    <row r="111" ht="15.75" customHeight="1">
      <c r="A111" s="48"/>
      <c r="B111" s="48"/>
      <c r="C111" s="48"/>
      <c r="D111" s="48"/>
      <c r="E111" s="48"/>
      <c r="J111" s="48"/>
      <c r="K111" s="48"/>
      <c r="L111" s="48"/>
      <c r="M111" s="49"/>
    </row>
    <row r="112" ht="15.75" customHeight="1">
      <c r="A112" s="48"/>
      <c r="B112" s="48"/>
      <c r="C112" s="48"/>
      <c r="D112" s="48"/>
      <c r="E112" s="48"/>
      <c r="J112" s="48"/>
      <c r="K112" s="48"/>
      <c r="L112" s="48"/>
      <c r="M112" s="49"/>
    </row>
    <row r="113" ht="15.75" customHeight="1">
      <c r="A113" s="48"/>
      <c r="B113" s="48"/>
      <c r="C113" s="48"/>
      <c r="D113" s="48"/>
      <c r="E113" s="48"/>
      <c r="J113" s="48"/>
      <c r="K113" s="48"/>
      <c r="L113" s="48"/>
      <c r="M113" s="49"/>
    </row>
    <row r="114" ht="15.75" customHeight="1">
      <c r="A114" s="48"/>
      <c r="B114" s="48"/>
      <c r="C114" s="48"/>
      <c r="D114" s="48"/>
      <c r="E114" s="48"/>
      <c r="J114" s="48"/>
      <c r="K114" s="48"/>
      <c r="L114" s="48"/>
      <c r="M114" s="49"/>
    </row>
    <row r="115" ht="15.75" customHeight="1">
      <c r="A115" s="48"/>
      <c r="B115" s="48"/>
      <c r="C115" s="48"/>
      <c r="D115" s="48"/>
      <c r="E115" s="48"/>
      <c r="J115" s="48"/>
      <c r="K115" s="48"/>
      <c r="L115" s="48"/>
      <c r="M115" s="49"/>
    </row>
    <row r="116" ht="15.75" customHeight="1">
      <c r="A116" s="48"/>
      <c r="B116" s="48"/>
      <c r="C116" s="48"/>
      <c r="D116" s="48"/>
      <c r="E116" s="48"/>
      <c r="J116" s="48"/>
      <c r="K116" s="48"/>
      <c r="L116" s="48"/>
      <c r="M116" s="49"/>
    </row>
    <row r="117" ht="15.75" customHeight="1">
      <c r="A117" s="48"/>
      <c r="B117" s="48"/>
      <c r="C117" s="48"/>
      <c r="D117" s="48"/>
      <c r="E117" s="48"/>
      <c r="J117" s="48"/>
      <c r="K117" s="48"/>
      <c r="L117" s="48"/>
      <c r="M117" s="49"/>
    </row>
    <row r="118" ht="15.75" customHeight="1">
      <c r="A118" s="48"/>
      <c r="B118" s="48"/>
      <c r="C118" s="48"/>
      <c r="D118" s="48"/>
      <c r="E118" s="48"/>
      <c r="J118" s="48"/>
      <c r="K118" s="48"/>
      <c r="L118" s="48"/>
      <c r="M118" s="49"/>
    </row>
    <row r="119" ht="15.75" customHeight="1">
      <c r="A119" s="48"/>
      <c r="B119" s="48"/>
      <c r="C119" s="48"/>
      <c r="D119" s="48"/>
      <c r="E119" s="48"/>
      <c r="J119" s="48"/>
      <c r="K119" s="48"/>
      <c r="L119" s="48"/>
      <c r="M119" s="49"/>
    </row>
    <row r="120" ht="15.75" customHeight="1">
      <c r="A120" s="48"/>
      <c r="B120" s="48"/>
      <c r="C120" s="48"/>
      <c r="D120" s="48"/>
      <c r="E120" s="48"/>
      <c r="J120" s="48"/>
      <c r="K120" s="48"/>
      <c r="L120" s="48"/>
      <c r="M120" s="49"/>
    </row>
    <row r="121" ht="15.75" customHeight="1">
      <c r="A121" s="48"/>
      <c r="B121" s="48"/>
      <c r="C121" s="48"/>
      <c r="D121" s="48"/>
      <c r="E121" s="48"/>
      <c r="J121" s="48"/>
      <c r="K121" s="48"/>
      <c r="L121" s="48"/>
      <c r="M121" s="49"/>
    </row>
    <row r="122" ht="15.75" customHeight="1">
      <c r="A122" s="48"/>
      <c r="B122" s="48"/>
      <c r="C122" s="48"/>
      <c r="D122" s="48"/>
      <c r="E122" s="48"/>
      <c r="J122" s="48"/>
      <c r="K122" s="48"/>
      <c r="L122" s="48"/>
      <c r="M122" s="49"/>
    </row>
    <row r="123" ht="15.75" customHeight="1">
      <c r="A123" s="48"/>
      <c r="B123" s="48"/>
      <c r="C123" s="48"/>
      <c r="D123" s="48"/>
      <c r="E123" s="48"/>
      <c r="J123" s="48"/>
      <c r="K123" s="48"/>
      <c r="L123" s="48"/>
      <c r="M123" s="49"/>
    </row>
    <row r="124" ht="15.75" customHeight="1">
      <c r="A124" s="48"/>
      <c r="B124" s="48"/>
      <c r="C124" s="48"/>
      <c r="D124" s="48"/>
      <c r="E124" s="48"/>
      <c r="J124" s="48"/>
      <c r="K124" s="48"/>
      <c r="L124" s="48"/>
      <c r="M124" s="49"/>
    </row>
    <row r="125" ht="15.75" customHeight="1">
      <c r="A125" s="48"/>
      <c r="B125" s="48"/>
      <c r="C125" s="48"/>
      <c r="D125" s="48"/>
      <c r="E125" s="48"/>
      <c r="J125" s="48"/>
      <c r="K125" s="48"/>
      <c r="L125" s="48"/>
      <c r="M125" s="49"/>
    </row>
    <row r="126" ht="15.75" customHeight="1">
      <c r="A126" s="48"/>
      <c r="B126" s="48"/>
      <c r="C126" s="48"/>
      <c r="D126" s="48"/>
      <c r="E126" s="48"/>
      <c r="J126" s="48"/>
      <c r="K126" s="48"/>
      <c r="L126" s="48"/>
      <c r="M126" s="49"/>
    </row>
    <row r="127" ht="15.75" customHeight="1">
      <c r="A127" s="48"/>
      <c r="B127" s="48"/>
      <c r="C127" s="48"/>
      <c r="D127" s="48"/>
      <c r="E127" s="48"/>
      <c r="J127" s="48"/>
      <c r="K127" s="48"/>
      <c r="L127" s="48"/>
      <c r="M127" s="49"/>
    </row>
    <row r="128" ht="15.75" customHeight="1">
      <c r="A128" s="48"/>
      <c r="B128" s="48"/>
      <c r="C128" s="48"/>
      <c r="D128" s="48"/>
      <c r="E128" s="48"/>
      <c r="J128" s="48"/>
      <c r="K128" s="48"/>
      <c r="L128" s="48"/>
      <c r="M128" s="49"/>
    </row>
    <row r="129" ht="15.75" customHeight="1">
      <c r="A129" s="48"/>
      <c r="B129" s="48"/>
      <c r="C129" s="48"/>
      <c r="D129" s="48"/>
      <c r="E129" s="48"/>
      <c r="J129" s="48"/>
      <c r="K129" s="48"/>
      <c r="L129" s="48"/>
      <c r="M129" s="49"/>
    </row>
    <row r="130" ht="15.75" customHeight="1">
      <c r="A130" s="48"/>
      <c r="B130" s="48"/>
      <c r="C130" s="48"/>
      <c r="D130" s="48"/>
      <c r="E130" s="48"/>
      <c r="J130" s="48"/>
      <c r="K130" s="48"/>
      <c r="L130" s="48"/>
      <c r="M130" s="49"/>
    </row>
    <row r="131" ht="15.75" customHeight="1">
      <c r="A131" s="48"/>
      <c r="B131" s="48"/>
      <c r="C131" s="48"/>
      <c r="D131" s="48"/>
      <c r="E131" s="48"/>
      <c r="J131" s="48"/>
      <c r="K131" s="48"/>
      <c r="L131" s="48"/>
      <c r="M131" s="49"/>
    </row>
    <row r="132" ht="15.75" customHeight="1">
      <c r="A132" s="48"/>
      <c r="B132" s="48"/>
      <c r="C132" s="48"/>
      <c r="D132" s="48"/>
      <c r="E132" s="48"/>
      <c r="J132" s="48"/>
      <c r="K132" s="48"/>
      <c r="L132" s="48"/>
      <c r="M132" s="49"/>
    </row>
    <row r="133" ht="15.75" customHeight="1">
      <c r="A133" s="48"/>
      <c r="B133" s="48"/>
      <c r="C133" s="48"/>
      <c r="D133" s="48"/>
      <c r="E133" s="48"/>
      <c r="J133" s="48"/>
      <c r="K133" s="48"/>
      <c r="L133" s="48"/>
      <c r="M133" s="49"/>
    </row>
    <row r="134" ht="15.75" customHeight="1">
      <c r="A134" s="48"/>
      <c r="B134" s="48"/>
      <c r="C134" s="48"/>
      <c r="D134" s="48"/>
      <c r="E134" s="48"/>
      <c r="J134" s="48"/>
      <c r="K134" s="48"/>
      <c r="L134" s="48"/>
      <c r="M134" s="49"/>
    </row>
    <row r="135" ht="15.75" customHeight="1">
      <c r="A135" s="48"/>
      <c r="B135" s="48"/>
      <c r="C135" s="48"/>
      <c r="D135" s="48"/>
      <c r="E135" s="48"/>
      <c r="J135" s="48"/>
      <c r="K135" s="48"/>
      <c r="L135" s="48"/>
      <c r="M135" s="49"/>
    </row>
    <row r="136" ht="15.75" customHeight="1">
      <c r="A136" s="48"/>
      <c r="B136" s="48"/>
      <c r="C136" s="48"/>
      <c r="D136" s="48"/>
      <c r="E136" s="48"/>
      <c r="J136" s="48"/>
      <c r="K136" s="48"/>
      <c r="L136" s="48"/>
      <c r="M136" s="49"/>
    </row>
    <row r="137" ht="15.75" customHeight="1">
      <c r="A137" s="48"/>
      <c r="B137" s="48"/>
      <c r="C137" s="48"/>
      <c r="D137" s="48"/>
      <c r="E137" s="48"/>
      <c r="J137" s="48"/>
      <c r="K137" s="48"/>
      <c r="L137" s="48"/>
      <c r="M137" s="49"/>
    </row>
    <row r="138" ht="15.75" customHeight="1">
      <c r="A138" s="48"/>
      <c r="B138" s="48"/>
      <c r="C138" s="48"/>
      <c r="D138" s="48"/>
      <c r="E138" s="48"/>
      <c r="J138" s="48"/>
      <c r="K138" s="48"/>
      <c r="L138" s="48"/>
      <c r="M138" s="49"/>
    </row>
    <row r="139" ht="15.75" customHeight="1">
      <c r="A139" s="48"/>
      <c r="B139" s="48"/>
      <c r="C139" s="48"/>
      <c r="D139" s="48"/>
      <c r="E139" s="48"/>
      <c r="J139" s="48"/>
      <c r="K139" s="48"/>
      <c r="L139" s="48"/>
      <c r="M139" s="49"/>
    </row>
    <row r="140" ht="15.75" customHeight="1">
      <c r="A140" s="48"/>
      <c r="B140" s="48"/>
      <c r="C140" s="48"/>
      <c r="D140" s="48"/>
      <c r="E140" s="48"/>
      <c r="J140" s="48"/>
      <c r="K140" s="48"/>
      <c r="L140" s="48"/>
      <c r="M140" s="49"/>
    </row>
    <row r="141" ht="15.75" customHeight="1">
      <c r="A141" s="48"/>
      <c r="B141" s="48"/>
      <c r="C141" s="48"/>
      <c r="D141" s="48"/>
      <c r="E141" s="48"/>
      <c r="J141" s="48"/>
      <c r="K141" s="48"/>
      <c r="L141" s="48"/>
      <c r="M141" s="49"/>
    </row>
    <row r="142" ht="15.75" customHeight="1">
      <c r="A142" s="48"/>
      <c r="B142" s="48"/>
      <c r="C142" s="48"/>
      <c r="D142" s="48"/>
      <c r="E142" s="48"/>
      <c r="J142" s="48"/>
      <c r="K142" s="48"/>
      <c r="L142" s="48"/>
      <c r="M142" s="49"/>
    </row>
    <row r="143" ht="15.75" customHeight="1">
      <c r="A143" s="48"/>
      <c r="B143" s="48"/>
      <c r="C143" s="48"/>
      <c r="D143" s="48"/>
      <c r="E143" s="48"/>
      <c r="J143" s="48"/>
      <c r="K143" s="48"/>
      <c r="L143" s="48"/>
      <c r="M143" s="49"/>
    </row>
    <row r="144" ht="15.75" customHeight="1">
      <c r="A144" s="48"/>
      <c r="B144" s="48"/>
      <c r="C144" s="48"/>
      <c r="D144" s="48"/>
      <c r="E144" s="48"/>
      <c r="J144" s="48"/>
      <c r="K144" s="48"/>
      <c r="L144" s="48"/>
      <c r="M144" s="49"/>
    </row>
    <row r="145" ht="15.75" customHeight="1">
      <c r="A145" s="48"/>
      <c r="B145" s="48"/>
      <c r="C145" s="48"/>
      <c r="D145" s="48"/>
      <c r="E145" s="48"/>
      <c r="J145" s="48"/>
      <c r="K145" s="48"/>
      <c r="L145" s="48"/>
      <c r="M145" s="49"/>
    </row>
    <row r="146" ht="15.75" customHeight="1">
      <c r="A146" s="48"/>
      <c r="B146" s="48"/>
      <c r="C146" s="48"/>
      <c r="D146" s="48"/>
      <c r="E146" s="48"/>
      <c r="J146" s="48"/>
      <c r="K146" s="48"/>
      <c r="L146" s="48"/>
      <c r="M146" s="49"/>
    </row>
    <row r="147" ht="15.75" customHeight="1">
      <c r="A147" s="48"/>
      <c r="B147" s="48"/>
      <c r="C147" s="48"/>
      <c r="D147" s="48"/>
      <c r="E147" s="48"/>
      <c r="J147" s="48"/>
      <c r="K147" s="48"/>
      <c r="L147" s="48"/>
      <c r="M147" s="49"/>
    </row>
    <row r="148" ht="15.75" customHeight="1">
      <c r="A148" s="48"/>
      <c r="B148" s="48"/>
      <c r="C148" s="48"/>
      <c r="D148" s="48"/>
      <c r="E148" s="48"/>
      <c r="J148" s="48"/>
      <c r="K148" s="48"/>
      <c r="L148" s="48"/>
      <c r="M148" s="49"/>
    </row>
    <row r="149" ht="15.75" customHeight="1">
      <c r="A149" s="48"/>
      <c r="B149" s="48"/>
      <c r="C149" s="48"/>
      <c r="D149" s="48"/>
      <c r="E149" s="48"/>
      <c r="J149" s="48"/>
      <c r="K149" s="48"/>
      <c r="L149" s="48"/>
      <c r="M149" s="49"/>
    </row>
    <row r="150" ht="15.75" customHeight="1">
      <c r="A150" s="48"/>
      <c r="B150" s="48"/>
      <c r="C150" s="48"/>
      <c r="D150" s="48"/>
      <c r="E150" s="48"/>
      <c r="J150" s="48"/>
      <c r="K150" s="48"/>
      <c r="L150" s="48"/>
      <c r="M150" s="49"/>
    </row>
    <row r="151" ht="15.75" customHeight="1">
      <c r="A151" s="48"/>
      <c r="B151" s="48"/>
      <c r="C151" s="48"/>
      <c r="D151" s="48"/>
      <c r="E151" s="48"/>
      <c r="J151" s="48"/>
      <c r="K151" s="48"/>
      <c r="L151" s="48"/>
      <c r="M151" s="49"/>
    </row>
    <row r="152" ht="15.75" customHeight="1">
      <c r="A152" s="48"/>
      <c r="B152" s="48"/>
      <c r="C152" s="48"/>
      <c r="D152" s="48"/>
      <c r="E152" s="48"/>
      <c r="J152" s="48"/>
      <c r="K152" s="48"/>
      <c r="L152" s="48"/>
      <c r="M152" s="49"/>
    </row>
    <row r="153" ht="15.75" customHeight="1">
      <c r="A153" s="48"/>
      <c r="B153" s="48"/>
      <c r="C153" s="48"/>
      <c r="D153" s="48"/>
      <c r="E153" s="48"/>
      <c r="J153" s="48"/>
      <c r="K153" s="48"/>
      <c r="L153" s="48"/>
      <c r="M153" s="49"/>
    </row>
    <row r="154" ht="15.75" customHeight="1">
      <c r="A154" s="48"/>
      <c r="B154" s="48"/>
      <c r="C154" s="48"/>
      <c r="D154" s="48"/>
      <c r="E154" s="48"/>
      <c r="J154" s="48"/>
      <c r="K154" s="48"/>
      <c r="L154" s="48"/>
      <c r="M154" s="49"/>
    </row>
    <row r="155" ht="15.75" customHeight="1">
      <c r="A155" s="48"/>
      <c r="B155" s="48"/>
      <c r="C155" s="48"/>
      <c r="D155" s="48"/>
      <c r="E155" s="48"/>
      <c r="J155" s="48"/>
      <c r="K155" s="48"/>
      <c r="L155" s="48"/>
      <c r="M155" s="49"/>
    </row>
    <row r="156" ht="15.75" customHeight="1">
      <c r="A156" s="48"/>
      <c r="B156" s="48"/>
      <c r="C156" s="48"/>
      <c r="D156" s="48"/>
      <c r="E156" s="48"/>
      <c r="J156" s="48"/>
      <c r="K156" s="48"/>
      <c r="L156" s="48"/>
      <c r="M156" s="49"/>
    </row>
    <row r="157" ht="15.75" customHeight="1">
      <c r="A157" s="48"/>
      <c r="B157" s="48"/>
      <c r="C157" s="48"/>
      <c r="D157" s="48"/>
      <c r="E157" s="48"/>
      <c r="J157" s="48"/>
      <c r="K157" s="48"/>
      <c r="L157" s="48"/>
      <c r="M157" s="49"/>
    </row>
    <row r="158" ht="15.75" customHeight="1">
      <c r="A158" s="48"/>
      <c r="B158" s="48"/>
      <c r="C158" s="48"/>
      <c r="D158" s="48"/>
      <c r="E158" s="48"/>
      <c r="J158" s="48"/>
      <c r="K158" s="48"/>
      <c r="L158" s="48"/>
      <c r="M158" s="49"/>
    </row>
    <row r="159" ht="15.75" customHeight="1">
      <c r="A159" s="48"/>
      <c r="B159" s="48"/>
      <c r="C159" s="48"/>
      <c r="D159" s="48"/>
      <c r="E159" s="48"/>
      <c r="J159" s="48"/>
      <c r="K159" s="48"/>
      <c r="L159" s="48"/>
      <c r="M159" s="49"/>
    </row>
    <row r="160" ht="15.75" customHeight="1">
      <c r="A160" s="48"/>
      <c r="B160" s="48"/>
      <c r="C160" s="48"/>
      <c r="D160" s="48"/>
      <c r="E160" s="48"/>
      <c r="J160" s="48"/>
      <c r="K160" s="48"/>
      <c r="L160" s="48"/>
      <c r="M160" s="49"/>
    </row>
    <row r="161" ht="15.75" customHeight="1">
      <c r="A161" s="48"/>
      <c r="B161" s="48"/>
      <c r="C161" s="48"/>
      <c r="D161" s="48"/>
      <c r="E161" s="48"/>
      <c r="J161" s="48"/>
      <c r="K161" s="48"/>
      <c r="L161" s="48"/>
      <c r="M161" s="49"/>
    </row>
    <row r="162" ht="15.75" customHeight="1">
      <c r="A162" s="48"/>
      <c r="B162" s="48"/>
      <c r="C162" s="48"/>
      <c r="D162" s="48"/>
      <c r="E162" s="48"/>
      <c r="J162" s="48"/>
      <c r="K162" s="48"/>
      <c r="L162" s="48"/>
      <c r="M162" s="49"/>
    </row>
    <row r="163" ht="15.75" customHeight="1">
      <c r="A163" s="48"/>
      <c r="B163" s="48"/>
      <c r="C163" s="48"/>
      <c r="D163" s="48"/>
      <c r="E163" s="48"/>
      <c r="J163" s="48"/>
      <c r="K163" s="48"/>
      <c r="L163" s="48"/>
      <c r="M163" s="49"/>
    </row>
    <row r="164" ht="15.75" customHeight="1">
      <c r="A164" s="48"/>
      <c r="B164" s="48"/>
      <c r="C164" s="48"/>
      <c r="D164" s="48"/>
      <c r="E164" s="48"/>
      <c r="J164" s="48"/>
      <c r="K164" s="48"/>
      <c r="L164" s="48"/>
      <c r="M164" s="49"/>
    </row>
    <row r="165" ht="15.75" customHeight="1">
      <c r="A165" s="48"/>
      <c r="B165" s="48"/>
      <c r="C165" s="48"/>
      <c r="D165" s="48"/>
      <c r="E165" s="48"/>
      <c r="J165" s="48"/>
      <c r="K165" s="48"/>
      <c r="L165" s="48"/>
      <c r="M165" s="49"/>
    </row>
    <row r="166" ht="15.75" customHeight="1">
      <c r="A166" s="48"/>
      <c r="B166" s="48"/>
      <c r="C166" s="48"/>
      <c r="D166" s="48"/>
      <c r="E166" s="48"/>
      <c r="J166" s="48"/>
      <c r="K166" s="48"/>
      <c r="L166" s="48"/>
      <c r="M166" s="49"/>
    </row>
    <row r="167" ht="15.75" customHeight="1">
      <c r="A167" s="48"/>
      <c r="B167" s="48"/>
      <c r="C167" s="48"/>
      <c r="D167" s="48"/>
      <c r="E167" s="48"/>
      <c r="J167" s="48"/>
      <c r="K167" s="48"/>
      <c r="L167" s="48"/>
      <c r="M167" s="49"/>
    </row>
    <row r="168" ht="15.75" customHeight="1">
      <c r="A168" s="48"/>
      <c r="B168" s="48"/>
      <c r="C168" s="48"/>
      <c r="D168" s="48"/>
      <c r="E168" s="48"/>
      <c r="J168" s="48"/>
      <c r="K168" s="48"/>
      <c r="L168" s="48"/>
      <c r="M168" s="49"/>
    </row>
    <row r="169" ht="15.75" customHeight="1">
      <c r="A169" s="48"/>
      <c r="B169" s="48"/>
      <c r="C169" s="48"/>
      <c r="D169" s="48"/>
      <c r="E169" s="48"/>
      <c r="J169" s="48"/>
      <c r="K169" s="48"/>
      <c r="L169" s="48"/>
      <c r="M169" s="49"/>
    </row>
    <row r="170" ht="15.75" customHeight="1">
      <c r="A170" s="48"/>
      <c r="B170" s="48"/>
      <c r="C170" s="48"/>
      <c r="D170" s="48"/>
      <c r="E170" s="48"/>
      <c r="J170" s="48"/>
      <c r="K170" s="48"/>
      <c r="L170" s="48"/>
      <c r="M170" s="49"/>
    </row>
    <row r="171" ht="15.75" customHeight="1">
      <c r="A171" s="48"/>
      <c r="B171" s="48"/>
      <c r="C171" s="48"/>
      <c r="D171" s="48"/>
      <c r="E171" s="48"/>
      <c r="J171" s="48"/>
      <c r="K171" s="48"/>
      <c r="L171" s="48"/>
      <c r="M171" s="49"/>
    </row>
    <row r="172" ht="15.75" customHeight="1">
      <c r="A172" s="48"/>
      <c r="B172" s="48"/>
      <c r="C172" s="48"/>
      <c r="D172" s="48"/>
      <c r="E172" s="48"/>
      <c r="J172" s="48"/>
      <c r="K172" s="48"/>
      <c r="L172" s="48"/>
      <c r="M172" s="49"/>
    </row>
    <row r="173" ht="15.75" customHeight="1">
      <c r="A173" s="48"/>
      <c r="B173" s="48"/>
      <c r="C173" s="48"/>
      <c r="D173" s="48"/>
      <c r="E173" s="48"/>
      <c r="J173" s="48"/>
      <c r="K173" s="48"/>
      <c r="L173" s="48"/>
      <c r="M173" s="49"/>
    </row>
    <row r="174" ht="15.75" customHeight="1">
      <c r="A174" s="48"/>
      <c r="B174" s="48"/>
      <c r="C174" s="48"/>
      <c r="D174" s="48"/>
      <c r="E174" s="48"/>
      <c r="J174" s="48"/>
      <c r="K174" s="48"/>
      <c r="L174" s="48"/>
      <c r="M174" s="49"/>
    </row>
    <row r="175" ht="15.75" customHeight="1">
      <c r="A175" s="48"/>
      <c r="B175" s="48"/>
      <c r="C175" s="48"/>
      <c r="D175" s="48"/>
      <c r="E175" s="48"/>
      <c r="J175" s="48"/>
      <c r="K175" s="48"/>
      <c r="L175" s="48"/>
      <c r="M175" s="49"/>
    </row>
    <row r="176" ht="15.75" customHeight="1">
      <c r="A176" s="48"/>
      <c r="B176" s="48"/>
      <c r="C176" s="48"/>
      <c r="D176" s="48"/>
      <c r="E176" s="48"/>
      <c r="J176" s="48"/>
      <c r="K176" s="48"/>
      <c r="L176" s="48"/>
      <c r="M176" s="49"/>
    </row>
    <row r="177" ht="15.75" customHeight="1">
      <c r="A177" s="48"/>
      <c r="B177" s="48"/>
      <c r="C177" s="48"/>
      <c r="D177" s="48"/>
      <c r="E177" s="48"/>
      <c r="J177" s="48"/>
      <c r="K177" s="48"/>
      <c r="L177" s="48"/>
      <c r="M177" s="49"/>
    </row>
    <row r="178" ht="15.75" customHeight="1">
      <c r="A178" s="48"/>
      <c r="B178" s="48"/>
      <c r="C178" s="48"/>
      <c r="D178" s="48"/>
      <c r="E178" s="48"/>
      <c r="J178" s="48"/>
      <c r="K178" s="48"/>
      <c r="L178" s="48"/>
      <c r="M178" s="49"/>
    </row>
    <row r="179" ht="15.75" customHeight="1">
      <c r="A179" s="48"/>
      <c r="B179" s="48"/>
      <c r="C179" s="48"/>
      <c r="D179" s="48"/>
      <c r="E179" s="48"/>
      <c r="J179" s="48"/>
      <c r="K179" s="48"/>
      <c r="L179" s="48"/>
      <c r="M179" s="49"/>
    </row>
    <row r="180" ht="15.75" customHeight="1">
      <c r="A180" s="48"/>
      <c r="B180" s="48"/>
      <c r="C180" s="48"/>
      <c r="D180" s="48"/>
      <c r="E180" s="48"/>
      <c r="J180" s="48"/>
      <c r="K180" s="48"/>
      <c r="L180" s="48"/>
      <c r="M180" s="49"/>
    </row>
    <row r="181" ht="15.75" customHeight="1">
      <c r="A181" s="48"/>
      <c r="B181" s="48"/>
      <c r="C181" s="48"/>
      <c r="D181" s="48"/>
      <c r="E181" s="48"/>
      <c r="J181" s="48"/>
      <c r="K181" s="48"/>
      <c r="L181" s="48"/>
      <c r="M181" s="49"/>
    </row>
    <row r="182" ht="15.75" customHeight="1">
      <c r="A182" s="48"/>
      <c r="B182" s="48"/>
      <c r="C182" s="48"/>
      <c r="D182" s="48"/>
      <c r="E182" s="48"/>
      <c r="J182" s="48"/>
      <c r="K182" s="48"/>
      <c r="L182" s="48"/>
      <c r="M182" s="49"/>
    </row>
    <row r="183" ht="15.75" customHeight="1">
      <c r="A183" s="48"/>
      <c r="B183" s="48"/>
      <c r="C183" s="48"/>
      <c r="D183" s="48"/>
      <c r="E183" s="48"/>
      <c r="J183" s="48"/>
      <c r="K183" s="48"/>
      <c r="L183" s="48"/>
      <c r="M183" s="49"/>
    </row>
    <row r="184" ht="15.75" customHeight="1">
      <c r="A184" s="48"/>
      <c r="B184" s="48"/>
      <c r="C184" s="48"/>
      <c r="D184" s="48"/>
      <c r="E184" s="48"/>
      <c r="J184" s="48"/>
      <c r="K184" s="48"/>
      <c r="L184" s="48"/>
      <c r="M184" s="49"/>
    </row>
    <row r="185" ht="15.75" customHeight="1">
      <c r="A185" s="48"/>
      <c r="B185" s="48"/>
      <c r="C185" s="48"/>
      <c r="D185" s="48"/>
      <c r="E185" s="48"/>
      <c r="J185" s="48"/>
      <c r="K185" s="48"/>
      <c r="L185" s="48"/>
      <c r="M185" s="49"/>
    </row>
    <row r="186" ht="15.75" customHeight="1">
      <c r="A186" s="48"/>
      <c r="B186" s="48"/>
      <c r="C186" s="48"/>
      <c r="D186" s="48"/>
      <c r="E186" s="48"/>
      <c r="J186" s="48"/>
      <c r="K186" s="48"/>
      <c r="L186" s="48"/>
      <c r="M186" s="49"/>
    </row>
    <row r="187" ht="15.75" customHeight="1">
      <c r="A187" s="48"/>
      <c r="B187" s="48"/>
      <c r="C187" s="48"/>
      <c r="D187" s="48"/>
      <c r="E187" s="48"/>
      <c r="J187" s="48"/>
      <c r="K187" s="48"/>
      <c r="L187" s="48"/>
      <c r="M187" s="49"/>
    </row>
    <row r="188" ht="15.75" customHeight="1">
      <c r="A188" s="48"/>
      <c r="B188" s="48"/>
      <c r="C188" s="48"/>
      <c r="D188" s="48"/>
      <c r="E188" s="48"/>
      <c r="J188" s="48"/>
      <c r="K188" s="48"/>
      <c r="L188" s="48"/>
      <c r="M188" s="49"/>
    </row>
    <row r="189" ht="15.75" customHeight="1">
      <c r="A189" s="48"/>
      <c r="B189" s="48"/>
      <c r="C189" s="48"/>
      <c r="D189" s="48"/>
      <c r="E189" s="48"/>
      <c r="J189" s="48"/>
      <c r="K189" s="48"/>
      <c r="L189" s="48"/>
      <c r="M189" s="49"/>
    </row>
    <row r="190" ht="15.75" customHeight="1">
      <c r="A190" s="48"/>
      <c r="B190" s="48"/>
      <c r="C190" s="48"/>
      <c r="D190" s="48"/>
      <c r="E190" s="48"/>
      <c r="J190" s="48"/>
      <c r="K190" s="48"/>
      <c r="L190" s="48"/>
      <c r="M190" s="49"/>
    </row>
    <row r="191" ht="15.75" customHeight="1">
      <c r="A191" s="48"/>
      <c r="B191" s="48"/>
      <c r="C191" s="48"/>
      <c r="D191" s="48"/>
      <c r="E191" s="48"/>
      <c r="J191" s="48"/>
      <c r="K191" s="48"/>
      <c r="L191" s="48"/>
      <c r="M191" s="49"/>
    </row>
    <row r="192" ht="15.75" customHeight="1">
      <c r="A192" s="48"/>
      <c r="B192" s="48"/>
      <c r="C192" s="48"/>
      <c r="D192" s="48"/>
      <c r="E192" s="48"/>
      <c r="J192" s="48"/>
      <c r="K192" s="48"/>
      <c r="L192" s="48"/>
      <c r="M192" s="49"/>
    </row>
    <row r="193" ht="15.75" customHeight="1">
      <c r="A193" s="48"/>
      <c r="B193" s="48"/>
      <c r="C193" s="48"/>
      <c r="D193" s="48"/>
      <c r="E193" s="48"/>
      <c r="J193" s="48"/>
      <c r="K193" s="48"/>
      <c r="L193" s="48"/>
      <c r="M193" s="49"/>
    </row>
    <row r="194" ht="15.75" customHeight="1">
      <c r="A194" s="48"/>
      <c r="B194" s="48"/>
      <c r="C194" s="48"/>
      <c r="D194" s="48"/>
      <c r="E194" s="48"/>
      <c r="J194" s="48"/>
      <c r="K194" s="48"/>
      <c r="L194" s="48"/>
      <c r="M194" s="49"/>
    </row>
    <row r="195" ht="15.75" customHeight="1">
      <c r="A195" s="48"/>
      <c r="B195" s="48"/>
      <c r="C195" s="48"/>
      <c r="D195" s="48"/>
      <c r="E195" s="48"/>
      <c r="J195" s="48"/>
      <c r="K195" s="48"/>
      <c r="L195" s="48"/>
      <c r="M195" s="49"/>
    </row>
    <row r="196" ht="15.75" customHeight="1">
      <c r="A196" s="48"/>
      <c r="B196" s="48"/>
      <c r="C196" s="48"/>
      <c r="D196" s="48"/>
      <c r="E196" s="48"/>
      <c r="J196" s="48"/>
      <c r="K196" s="48"/>
      <c r="L196" s="48"/>
      <c r="M196" s="49"/>
    </row>
    <row r="197" ht="15.75" customHeight="1">
      <c r="A197" s="48"/>
      <c r="B197" s="48"/>
      <c r="C197" s="48"/>
      <c r="D197" s="48"/>
      <c r="E197" s="48"/>
      <c r="J197" s="48"/>
      <c r="K197" s="48"/>
      <c r="L197" s="48"/>
      <c r="M197" s="49"/>
    </row>
    <row r="198" ht="15.75" customHeight="1">
      <c r="A198" s="48"/>
      <c r="B198" s="48"/>
      <c r="C198" s="48"/>
      <c r="D198" s="48"/>
      <c r="E198" s="48"/>
      <c r="J198" s="48"/>
      <c r="K198" s="48"/>
      <c r="L198" s="48"/>
      <c r="M198" s="49"/>
    </row>
    <row r="199" ht="15.75" customHeight="1">
      <c r="A199" s="48"/>
      <c r="B199" s="48"/>
      <c r="C199" s="48"/>
      <c r="D199" s="48"/>
      <c r="E199" s="48"/>
      <c r="J199" s="48"/>
      <c r="K199" s="48"/>
      <c r="L199" s="48"/>
      <c r="M199" s="49"/>
    </row>
    <row r="200" ht="15.75" customHeight="1">
      <c r="A200" s="48"/>
      <c r="B200" s="48"/>
      <c r="C200" s="48"/>
      <c r="D200" s="48"/>
      <c r="E200" s="48"/>
      <c r="J200" s="48"/>
      <c r="K200" s="48"/>
      <c r="L200" s="48"/>
      <c r="M200" s="49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N2"/>
  </mergeCells>
  <conditionalFormatting sqref="J4:J200">
    <cfRule type="expression" dxfId="4" priority="1">
      <formula>J4="PASS"</formula>
    </cfRule>
  </conditionalFormatting>
  <conditionalFormatting sqref="J4:J200">
    <cfRule type="expression" dxfId="5" priority="2">
      <formula>J4="FAIL"</formula>
    </cfRule>
  </conditionalFormatting>
  <conditionalFormatting sqref="J4:J200">
    <cfRule type="expression" dxfId="7" priority="3">
      <formula>J4="BLOCKED"</formula>
    </cfRule>
  </conditionalFormatting>
  <conditionalFormatting sqref="J4:J200">
    <cfRule type="expression" dxfId="8" priority="4">
      <formula>J4="미실행"</formula>
    </cfRule>
  </conditionalFormatting>
  <dataValidations>
    <dataValidation type="list" allowBlank="1" sqref="J4:J200">
      <formula1>'설정값'!$D$2:$D$6</formula1>
    </dataValidation>
    <dataValidation type="list" allowBlank="1" sqref="D4:D200">
      <formula1>'설정값'!$H$2:$H$5</formula1>
    </dataValidation>
    <dataValidation type="list" allowBlank="1" sqref="E4:E200">
      <formula1>'설정값'!$F$2:$F$5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5.0"/>
    <col customWidth="1" min="2" max="2" width="12.0"/>
    <col customWidth="1" min="3" max="3" width="8.63"/>
    <col customWidth="1" min="4" max="4" width="16.0"/>
    <col customWidth="1" min="5" max="5" width="8.63"/>
    <col customWidth="1" min="6" max="6" width="12.0"/>
    <col customWidth="1" min="7" max="7" width="8.63"/>
    <col customWidth="1" min="8" max="8" width="14.0"/>
    <col customWidth="1" min="9" max="9" width="8.63"/>
    <col customWidth="1" min="10" max="10" width="16.0"/>
    <col customWidth="1" min="11" max="26" width="8.63"/>
  </cols>
  <sheetData>
    <row r="1">
      <c r="A1" s="50" t="s">
        <v>244</v>
      </c>
      <c r="B1" s="51" t="s">
        <v>245</v>
      </c>
      <c r="C1" s="52"/>
      <c r="D1" s="12" t="s">
        <v>20</v>
      </c>
      <c r="E1" s="52"/>
      <c r="F1" s="12" t="s">
        <v>47</v>
      </c>
      <c r="G1" s="52"/>
      <c r="H1" s="12" t="s">
        <v>123</v>
      </c>
      <c r="I1" s="52"/>
      <c r="J1" s="12" t="s">
        <v>246</v>
      </c>
    </row>
    <row r="2">
      <c r="A2" s="52" t="s">
        <v>247</v>
      </c>
      <c r="B2" s="52">
        <v>3.0</v>
      </c>
      <c r="C2" s="52"/>
      <c r="D2" s="52" t="s">
        <v>22</v>
      </c>
      <c r="E2" s="52"/>
      <c r="F2" s="52" t="s">
        <v>58</v>
      </c>
      <c r="G2" s="52"/>
      <c r="H2" s="52" t="s">
        <v>132</v>
      </c>
      <c r="I2" s="52"/>
      <c r="J2" s="52" t="s">
        <v>59</v>
      </c>
    </row>
    <row r="3">
      <c r="A3" s="52" t="s">
        <v>248</v>
      </c>
      <c r="B3" s="52">
        <v>2.0</v>
      </c>
      <c r="C3" s="52"/>
      <c r="D3" s="52" t="s">
        <v>4</v>
      </c>
      <c r="E3" s="52"/>
      <c r="F3" s="52" t="s">
        <v>117</v>
      </c>
      <c r="G3" s="52"/>
      <c r="H3" s="52" t="s">
        <v>139</v>
      </c>
      <c r="I3" s="52"/>
      <c r="J3" s="52" t="s">
        <v>249</v>
      </c>
    </row>
    <row r="4">
      <c r="A4" s="52" t="s">
        <v>246</v>
      </c>
      <c r="B4" s="52" t="s">
        <v>59</v>
      </c>
      <c r="C4" s="52"/>
      <c r="D4" s="52" t="s">
        <v>5</v>
      </c>
      <c r="E4" s="52"/>
      <c r="F4" s="52" t="s">
        <v>250</v>
      </c>
      <c r="G4" s="52"/>
      <c r="H4" s="52" t="s">
        <v>209</v>
      </c>
      <c r="I4" s="52"/>
      <c r="J4" s="52" t="s">
        <v>251</v>
      </c>
    </row>
    <row r="5">
      <c r="A5" s="52"/>
      <c r="B5" s="52"/>
      <c r="C5" s="52"/>
      <c r="D5" s="52" t="s">
        <v>23</v>
      </c>
      <c r="E5" s="52"/>
      <c r="F5" s="52" t="s">
        <v>252</v>
      </c>
      <c r="G5" s="52"/>
      <c r="H5" s="52" t="s">
        <v>234</v>
      </c>
      <c r="I5" s="52"/>
      <c r="J5" s="52" t="s">
        <v>253</v>
      </c>
    </row>
    <row r="6">
      <c r="A6" s="52" t="s">
        <v>254</v>
      </c>
      <c r="B6" s="52"/>
      <c r="C6" s="52"/>
      <c r="D6" s="52" t="s">
        <v>24</v>
      </c>
      <c r="E6" s="52"/>
      <c r="F6" s="52"/>
      <c r="G6" s="52"/>
      <c r="H6" s="52"/>
      <c r="I6" s="52"/>
      <c r="J6" s="52"/>
    </row>
    <row r="7">
      <c r="A7" s="52" t="s">
        <v>22</v>
      </c>
      <c r="B7" s="52"/>
      <c r="C7" s="52"/>
      <c r="D7" s="52"/>
      <c r="E7" s="52"/>
      <c r="F7" s="52"/>
      <c r="G7" s="52"/>
      <c r="H7" s="52"/>
      <c r="I7" s="52"/>
      <c r="J7" s="52"/>
    </row>
    <row r="8">
      <c r="A8" s="52" t="s">
        <v>4</v>
      </c>
      <c r="B8" s="52"/>
      <c r="C8" s="52"/>
      <c r="D8" s="52"/>
      <c r="E8" s="52"/>
      <c r="F8" s="52"/>
      <c r="G8" s="52"/>
      <c r="H8" s="52"/>
      <c r="I8" s="52"/>
      <c r="J8" s="5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